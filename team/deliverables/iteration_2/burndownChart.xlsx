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IT1" sheetId="2" r:id="rId6"/>
    <sheet state="visible" name="IT2" sheetId="3" r:id="rId7"/>
    <sheet state="visible" name="IT3" sheetId="4" r:id="rId8"/>
    <sheet state="visible" name="IT4" sheetId="5" r:id="rId9"/>
  </sheets>
  <definedNames>
    <definedName name="IT3H12">#REF!</definedName>
    <definedName name="IT4H13">#REF!</definedName>
    <definedName name="IT3H11">#REF!</definedName>
    <definedName name="IT4H3">#REF!</definedName>
    <definedName name="IT2H11">#REF!</definedName>
    <definedName name="IT2H4">#REF!</definedName>
    <definedName name="IT1H4">'IT1'!$E$44</definedName>
    <definedName name="IT3H13">#REF!</definedName>
    <definedName name="IT2H8">#REF!</definedName>
    <definedName name="IT2H5">#REF!</definedName>
    <definedName name="IT2H12">#REF!</definedName>
    <definedName name="IT4H9">#REF!</definedName>
    <definedName name="IT3H2">#REF!</definedName>
    <definedName name="IT1H10">'IT1'!$E$76</definedName>
    <definedName name="IT1H6">'IT1'!$E$51</definedName>
    <definedName name="IT3H5">#REF!</definedName>
    <definedName name="IT4H11">#REF!</definedName>
    <definedName name="IT1H3">'IT1'!$E$34</definedName>
    <definedName name="IT2H10">#REF!</definedName>
    <definedName name="IT2H13">#REF!</definedName>
    <definedName name="IT2H3">#REF!</definedName>
    <definedName name="IT4H7">#REF!</definedName>
    <definedName name="IT3H4">#REF!</definedName>
    <definedName name="IT4H4">#REF!</definedName>
    <definedName name="IT2H7">#REF!</definedName>
    <definedName name="IT4H1">#REF!</definedName>
    <definedName name="IT4H6">#REF!</definedName>
    <definedName name="IT3H1">#REF!</definedName>
    <definedName name="IT3H10">#REF!</definedName>
    <definedName name="IT2H6">#REF!</definedName>
    <definedName name="IT4H8">#REF!</definedName>
    <definedName name="IT4H10">#REF!</definedName>
    <definedName name="IT2H2">#REF!</definedName>
    <definedName name="IT1H12">'IT1'!$E$86</definedName>
    <definedName name="IT2H1">#REF!</definedName>
    <definedName name="IT2H9">#REF!</definedName>
    <definedName name="IT1H2">'IT1'!$E$17</definedName>
    <definedName name="IT3H9">#REF!</definedName>
    <definedName name="IT4H12">#REF!</definedName>
    <definedName name="IT1H9">'IT1'!$E$69</definedName>
    <definedName name="IT1H11">'IT1'!$E$79</definedName>
    <definedName name="IT4H2">#REF!</definedName>
    <definedName name="IT3H8">#REF!</definedName>
    <definedName name="IT3H7">#REF!</definedName>
    <definedName name="IT3H6">#REF!</definedName>
    <definedName name="IT4H5">#REF!</definedName>
    <definedName name="IT3H3">#REF!</definedName>
  </definedNames>
  <calcPr/>
</workbook>
</file>

<file path=xl/sharedStrings.xml><?xml version="1.0" encoding="utf-8"?>
<sst xmlns="http://schemas.openxmlformats.org/spreadsheetml/2006/main" count="712" uniqueCount="258">
  <si>
    <t>Estimation IT1</t>
  </si>
  <si>
    <t>Estimation IT2</t>
  </si>
  <si>
    <t>Estimation IT3</t>
  </si>
  <si>
    <t>Estimation IT4</t>
  </si>
  <si>
    <t>Fin</t>
  </si>
  <si>
    <t>Histoire 1</t>
  </si>
  <si>
    <t>Histoire 2</t>
  </si>
  <si>
    <t>Histoire 3</t>
  </si>
  <si>
    <t>Histoire 4</t>
  </si>
  <si>
    <t>Histoire 5</t>
  </si>
  <si>
    <t>Histoire 6</t>
  </si>
  <si>
    <t>Histoire 7</t>
  </si>
  <si>
    <t>Histoire 8</t>
  </si>
  <si>
    <t>Histoire 9</t>
  </si>
  <si>
    <t>Histoire 10</t>
  </si>
  <si>
    <t>Histoire 11</t>
  </si>
  <si>
    <t>Histoire 12</t>
  </si>
  <si>
    <t>Histoire 13</t>
  </si>
  <si>
    <t>Histoire 14</t>
  </si>
  <si>
    <t>Histoire 15</t>
  </si>
  <si>
    <t>Histoire 16</t>
  </si>
  <si>
    <t>Histoire 17</t>
  </si>
  <si>
    <t>Histoire 18</t>
  </si>
  <si>
    <t>Histoire 19</t>
  </si>
  <si>
    <t>Histoire 20</t>
  </si>
  <si>
    <t>Histoire 21</t>
  </si>
  <si>
    <t>Histoire 22</t>
  </si>
  <si>
    <t>Histoire 23</t>
  </si>
  <si>
    <t>Histoire 24</t>
  </si>
  <si>
    <t>Histoire 25</t>
  </si>
  <si>
    <t>Histoire 26</t>
  </si>
  <si>
    <t>Histoire 27</t>
  </si>
  <si>
    <t>Histoire 28</t>
  </si>
  <si>
    <t>Estimation</t>
  </si>
  <si>
    <t>Itération 1</t>
  </si>
  <si>
    <t>Itération 2</t>
  </si>
  <si>
    <t>Itération 3</t>
  </si>
  <si>
    <t>Itération 4</t>
  </si>
  <si>
    <t>Total</t>
  </si>
  <si>
    <t>HISTOIRE 1 (Constituer une equipe)</t>
  </si>
  <si>
    <t>Tâches</t>
  </si>
  <si>
    <t>Pilote</t>
  </si>
  <si>
    <t>Copilote</t>
  </si>
  <si>
    <t>Points réels</t>
  </si>
  <si>
    <t>Points estimés</t>
  </si>
  <si>
    <t>Vélocité :</t>
  </si>
  <si>
    <t>Parse fichiers json des bugemons, charger les sprites</t>
  </si>
  <si>
    <t>Daniel.B</t>
  </si>
  <si>
    <t>Zia</t>
  </si>
  <si>
    <t>Total Points réel :</t>
  </si>
  <si>
    <t>une grille avec tous les bugemons disponibles</t>
  </si>
  <si>
    <t>Rugile</t>
  </si>
  <si>
    <t>Oleksandra</t>
  </si>
  <si>
    <t>Total Points estimé :</t>
  </si>
  <si>
    <t>on ne peut choisir un bugemon qu’une seule fois pour l’équipe </t>
  </si>
  <si>
    <t>Afficher les sprites des bugemons et montrer graphiquement qu’on ne peut en choisir qu’un seul</t>
  </si>
  <si>
    <t>Abdal</t>
  </si>
  <si>
    <t>Clement</t>
  </si>
  <si>
    <t>connecter interface avec reste du code</t>
  </si>
  <si>
    <t>HISTOIRE 4 (Combat automatique)</t>
  </si>
  <si>
    <t>Nombre de jours :</t>
  </si>
  <si>
    <t>Lancer un combat avec l’équipe de bugemon choisis.</t>
  </si>
  <si>
    <t>Contrôle de combat (classe Battle)</t>
  </si>
  <si>
    <t>Alexis</t>
  </si>
  <si>
    <t>Sam</t>
  </si>
  <si>
    <t>REFACTOR</t>
  </si>
  <si>
    <t>Gestion des attaques</t>
  </si>
  <si>
    <t>Jour</t>
  </si>
  <si>
    <t>Idéal</t>
  </si>
  <si>
    <t>Réel</t>
  </si>
  <si>
    <t>Gestion des dégâts</t>
  </si>
  <si>
    <t>Initiative (qui joue en premier)</t>
  </si>
  <si>
    <t>Gestion des états (Bugémon KO, fin de partie, …)</t>
  </si>
  <si>
    <t>L’équipe adverse est générée aléatoirement avec le même nombre de bugemon et plus ou moins les mêmes stats que l’équipe du joueur. </t>
  </si>
  <si>
    <t>Les actions du joueur se font automatiquement avec un certain temps d’attente entre chaque action (par ex : 1 seconde). (FAIRE DES THREAD)</t>
  </si>
  <si>
    <t>/</t>
  </si>
  <si>
    <t>affichage de la fenêtre de combat avec boutons et bugemons</t>
  </si>
  <si>
    <t>Selection de Bugemons attachee a l’interface Battle</t>
  </si>
  <si>
    <t>attacher les buttons aux fonctionnalités </t>
  </si>
  <si>
    <t>Menu choix du type de combat (automatique ou contrôle des actions)</t>
  </si>
  <si>
    <t>Contrôle de combat (Controller)    (temps mis 30min)</t>
  </si>
  <si>
    <t>- Sélectionner une attaque aléatoire </t>
  </si>
  <si>
    <t>Gestion de fin de combat, cad gain en XP, stats, …  (temps mis 1h30min)</t>
  </si>
  <si>
    <t>Contrôle de combat (Controller)</t>
  </si>
  <si>
    <t>- Filtrer les Bugémons qui reçoivent de l'XP (uniquement ceux envoyés sur le terrain)</t>
  </si>
  <si>
    <t>L’adversaire continue de jouer automatiquement (attaque aléatoire, changement aléatoire si K.O.) </t>
  </si>
  <si>
    <t>Interface:</t>
  </si>
  <si>
    <t>- Générer messages/log</t>
  </si>
  <si>
    <t>- Afficher nom, sprite, PV</t>
  </si>
  <si>
    <t>HISTOIRE 5 (Contrôle des actions)</t>
  </si>
  <si>
    <t>À chaque tour, au lieu de choisir automatiquement, le jeu présente au joueur 4 options :</t>
  </si>
  <si>
    <t>- 1. Attaquer : affiche un sous-menu avec les 3 attaques du Bugémon actif. Le joueur sélectionne l’attaque à utiliser.</t>
  </si>
  <si>
    <t>- 2. Changer : affiche la liste des Bugémons disponibles dans l’équipe. Le joueur sélectionne quel Bugémon envoyer.</t>
  </si>
  <si>
    <t>- 3. Objet : affiche l’inventaire (si la fonctionnalité est déjà implémentée) et permet de choisir un objet à utiliser.</t>
  </si>
  <si>
    <t>- 4. Abandonner : termine immédiatement le combat (défaite).</t>
  </si>
  <si>
    <t>Lorsqu’un Bugémon du joueur est K.O., le jeu affiche obligatoirement la liste des Bugémons disponibles pour que le joueur choisisse lequel envoyer.</t>
  </si>
  <si>
    <t>Interface</t>
  </si>
  <si>
    <t>Gestion des tours (une action par tour,...)</t>
  </si>
  <si>
    <t>Gérer effets avec cible “equipe”</t>
  </si>
  <si>
    <t>HISTOIRE 6 (Calcul des dégâts)</t>
  </si>
  <si>
    <t>Le calcul de dégâts est remplacé par la formule complète définie dans Section 3.2.3</t>
  </si>
  <si>
    <t>Effets des attaques</t>
  </si>
  <si>
    <t>Le type de chaque Bugémon est visible (icône ou couleur)</t>
  </si>
  <si>
    <t>Le type de chaque attaque est affiché dans le menu de sélection (icône ou couleur)</t>
  </si>
  <si>
    <t>Lors de la sélection d’une attaque, un indicateur montre l’efficacité prévue :</t>
  </si>
  <si>
    <t>- « Super efficace ! » (vert) si multiplicateur = 1.5</t>
  </si>
  <si>
    <t>- « Peu efficace… » (rouge) si multiplicateur = 0.75</t>
  </si>
  <si>
    <t>- Rien de spécial si multiplicateur = 1.0</t>
  </si>
  <si>
    <t>HISTOIRE 7 (Expérience et montée de niveau)</t>
  </si>
  <si>
    <t>À chaque montée de niveau :</t>
  </si>
  <si>
    <t>Ses PV sont automatiquement restaurés au maximum</t>
  </si>
  <si>
    <t>Le joueur choisit un bonus parmi 3 options proposées aléatoirement :</t>
  </si>
  <si>
    <t>- +20 HP maximum</t>
  </si>
  <si>
    <t>- +10 Attaque</t>
  </si>
  <si>
    <t>- +10 Défense</t>
  </si>
  <si>
    <t>- +20 Initiative</t>
  </si>
  <si>
    <t>- Combinaisons générée aléatoirement; le total doit valoir 10 points et 1 point correspond à 2 HP ou 2 Initiative ou 1 Attaque ou 1 Défense(ex: +5 Attaque et +5 Défense)</t>
  </si>
  <si>
    <t>Bonus de montée de niveau</t>
  </si>
  <si>
    <t>- Niveau du Bugemon</t>
  </si>
  <si>
    <t>- Menu de choix de bonus</t>
  </si>
  <si>
    <t>HISTOIRE 9 (Structure du NO)</t>
  </si>
  <si>
    <t>Une partie du jeu = Un run du Donjon </t>
  </si>
  <si>
    <t>On choisit l’équipe au début du donjon et on la garde jusqu’au bout</t>
  </si>
  <si>
    <t>Interface graphique libre (on a le choix), pas de notion de carte</t>
  </si>
  <si>
    <t>L’équipe se régénère totalement à la fin de chaque combat</t>
  </si>
  <si>
    <t>SUPPLÉMENTAIRE: Bouton permettant d’arrêter la partie (donc d’abandonner l'ascension de la tour NO). Diffère du bouton “fuite” qui ne fait que abandonner le combat en cours, sans finir la partie.</t>
  </si>
  <si>
    <t>HISTOIRE 10 (Utiliser um objet)</t>
  </si>
  <si>
    <t>Parse fichier json objets</t>
  </si>
  <si>
    <t>Controller: utilisation des objets &amp; inventaire</t>
  </si>
  <si>
    <t>Gestion des effets des objets</t>
  </si>
  <si>
    <t>Consomme le tour du joueur qui l’utilise.</t>
  </si>
  <si>
    <t>Empêcher les PV d’augmenter plus haut ques les PV max en utilisant un objet (2h30)</t>
  </si>
  <si>
    <t>Daniel.C</t>
  </si>
  <si>
    <t>Interface: bouton pour utiliser objet + menu choix objets</t>
  </si>
  <si>
    <t>Effets revert après 1 tour dans BattleController en gardant une sorte de TTL de tous les effets actuels</t>
  </si>
  <si>
    <t>Empêcher qu’un objet disparaisse si on ne peut l’utiliser</t>
  </si>
  <si>
    <t>Gestion de l’objet swap qui ne consomme pas le tour</t>
  </si>
  <si>
    <t>Mettre à jour JUnit 5 sur toutes les branches  (Temps mis : 45min)</t>
  </si>
  <si>
    <t>Mettre à jour Google Docs (Temps mis: 1h00)</t>
  </si>
  <si>
    <t>Update checkTeamKO(), gère des équipes de 1 à 6 maintenant (Temps: 30min)</t>
  </si>
  <si>
    <t>homogenéiser effects (value/modifier -&gt; modifiers, String -&gt; ENUM)</t>
  </si>
  <si>
    <t>refactor tests objets avec samples et les decaler de TestBattleController a TestItems</t>
  </si>
  <si>
    <t>Supprimer Bugemon.getId(), ou le renommer en Bugemon.getSpeciesId() (petite tâche)</t>
  </si>
  <si>
    <t>Déplacer les parsers dans la couche repository (temps mis : 5min)</t>
  </si>
  <si>
    <t>Chargement des items (temps mis : 2h)</t>
  </si>
  <si>
    <t>Chargement des abilités (temps mis : 4h30)</t>
  </si>
  <si>
    <t>Chargement des bugémons (temps mis : 1h30)</t>
  </si>
  <si>
    <t>Créer un nouveau sous-module json.parser pour mieux marquer la distinction entre loaders et parsers (temps mis : 20min)</t>
  </si>
  <si>
    <t>BugemonService</t>
  </si>
  <si>
    <t>ItemService</t>
  </si>
  <si>
    <t>Chargement et injection des services (besoin de tirer au clair l’architecture du programme avant de faire ça)</t>
  </si>
  <si>
    <t>Supprimer BugemonDatabase, AbilityDatabase, model.sample, etc. (grosse tâche)</t>
  </si>
  <si>
    <t>Supprimer les constructeurs dépréciés de Bugemon (grosse tâche)</t>
  </si>
  <si>
    <t>Refactor BattleController, BattleSnashot et Battle en fonction du diagramme</t>
  </si>
  <si>
    <t>Créer useAction dans Battle</t>
  </si>
  <si>
    <t>Afficher les logs (“bugemon attaque, fait x dégats, …”) dans la view</t>
  </si>
  <si>
    <t>instancier BattleController et battle (via des threads pour BattleController)</t>
  </si>
  <si>
    <t>Déplacer le choix random des actions dans Strategy et l’instancier au début du combat</t>
  </si>
  <si>
    <t>Griser les actions non disponibles dans la view</t>
  </si>
  <si>
    <t>HISTOIRE 5 (Contrôle des Actions)</t>
  </si>
  <si>
    <t>Afficher la fenêtre de switch après la mort</t>
  </si>
  <si>
    <t>Bug après mort du Bugémon adversaire</t>
  </si>
  <si>
    <t>Bug de menu de switch (après avoir switch) + bouton retour désactivé</t>
  </si>
  <si>
    <t>HISTOIRE 6 (Calcul de Dégats)</t>
  </si>
  <si>
    <t>Points restants</t>
  </si>
  <si>
    <t>Afficher les messages d'efficacité</t>
  </si>
  <si>
    <t>Multijoueur : serveur-client</t>
  </si>
  <si>
    <t>Refactor</t>
  </si>
  <si>
    <t>Divers</t>
  </si>
  <si>
    <t>HISTOIRE 7 (Expérience et Montée de Niveau : Choix de Récompenses)</t>
  </si>
  <si>
    <t>Génération aléatoire des trois récompenses</t>
  </si>
  <si>
    <t>Menu de choix de la récompense</t>
  </si>
  <si>
    <t>Rugilé</t>
  </si>
  <si>
    <t>Combinaisons générée aléatoirement (le total doit valoir 10 points et 1 point correspond à 2 HP ou 2 Initiative ou 1 Attaque ou 1 Défense)</t>
  </si>
  <si>
    <t>Wael</t>
  </si>
  <si>
    <t>Connecter récompenses à l’interface</t>
  </si>
  <si>
    <t>Connecter au reste du code</t>
  </si>
  <si>
    <t>Afficher XP total obtenu après un combat</t>
  </si>
  <si>
    <t>Afficher XP obtenu par chaque bugemon après un combat</t>
  </si>
  <si>
    <t>Ne pas générer plusieurs fois le même reward</t>
  </si>
  <si>
    <t>HISTOIRE 9 (Tour du NO)</t>
  </si>
  <si>
    <t>Établir les bases du modèle (Tower, Floor, Room)</t>
  </si>
  <si>
    <t>Établir les bases du contrôleur (TowerManager, …)</t>
  </si>
  <si>
    <t>Passer au combat suivant</t>
  </si>
  <si>
    <t>Connecter étage/final boss avec les XP gagnés dans un combat</t>
  </si>
  <si>
    <t>Faire les Rooms récompense</t>
  </si>
  <si>
    <t>Afficher “étage suivant” quand on change d'étage + afficher nombre d'étage et de room dans la room récompense</t>
  </si>
  <si>
    <t>Possibilité de choisir le mode de jeu une fois la team choisie (auto, controle, tour)</t>
  </si>
  <si>
    <t>fix premier niveau qui se répète deux fois</t>
  </si>
  <si>
    <t>ajout de la fenêtre victoire pour la fin</t>
  </si>
  <si>
    <t>modifier le bouton fuite dans la tour pour abandonner le combat et pas toute la partie</t>
  </si>
  <si>
    <t>ajout de bouton pour quitter tour du NO</t>
  </si>
  <si>
    <t>Rechercher une librairie / créer un format pour les interactions client / serveur</t>
  </si>
  <si>
    <t>Planifier la structure du code en client / serveur</t>
  </si>
  <si>
    <t>Clément</t>
  </si>
  <si>
    <t>Classe Message: classe transformable en json (ou autre) qui contient des messages envoyés entre View et Controller</t>
  </si>
  <si>
    <t>Classes &amp; Interfaces Messengers : classes qui envoient les messages View &lt;-&gt; Controller</t>
  </si>
  <si>
    <t>Établir la connection serveur / client + afficher dans le terminal</t>
  </si>
  <si>
    <t>English -&gt; français dans le jeu</t>
  </si>
  <si>
    <t>Uniformiser le nom des tests</t>
  </si>
  <si>
    <t>Refactor la classe Battle en plus petites classes</t>
  </si>
  <si>
    <t>Planifier la refactor du code en bon MVC</t>
  </si>
  <si>
    <t>Everyone</t>
  </si>
  <si>
    <t>Planifier refactor communication View - Controller</t>
  </si>
  <si>
    <t>Sam + Daniel.C</t>
  </si>
  <si>
    <t>Refactor initialisation GameController + passage de GameController aux Windows</t>
  </si>
  <si>
    <t xml:space="preserve">Replanifier le menu initial pour avoir “Mode Solo”, “Multijoueur”, “Équipe” et “Quitter” </t>
  </si>
  <si>
    <t>fix repository</t>
  </si>
  <si>
    <t>Repository: Simplifier la structure du repository</t>
  </si>
  <si>
    <t>Supprimer les classes Database et Sample</t>
  </si>
  <si>
    <t>Battle : Refactor de handleActionFinished qui set le bugemon adverse alors que c’est à strategy de le faire</t>
  </si>
  <si>
    <t xml:space="preserve"> </t>
  </si>
  <si>
    <t>Couper applyEffect en sous-fonctions (Nettoyage Classe Battle)</t>
  </si>
  <si>
    <t>Sortir la logique d’application d’effets de la classe Battle (Nettoyage Classe Battle)</t>
  </si>
  <si>
    <t>Sortir la logique d’application d’abilités de la classe Battle (Nettoyage Classe Battle)</t>
  </si>
  <si>
    <t>Créer des EffectList pour les abilités (Nettoyage Classe Battle)</t>
  </si>
  <si>
    <t>Polymorphiser la classe Effect (Nettoyage Classe Battle)</t>
  </si>
  <si>
    <t>Créer une classe BattleParticipant pour réduire la duplication de code (Nettoyage Classe Battle)</t>
  </si>
  <si>
    <t>Sortir la logique d’application des actions des classes Battle / BattleController (Nettoyage Classe Battle)</t>
  </si>
  <si>
    <t>début refactor : template pour implémentation de message et intéraction Vue &lt;-&gt; Contrôleur (Refactor V&lt;-&gt;C)</t>
  </si>
  <si>
    <t>utilisation de messages: SwitchWindow, GetInfo, SetupTeam, SetupGameMode (Refactor V&lt;-&gt;C)</t>
  </si>
  <si>
    <t>ViewManager qui s’occupe de switch les fenêtres et transmettre les messages de la vue au contrôleur (Refactor V&lt;-&gt;C)</t>
  </si>
  <si>
    <t>centralisation des windows avec le parent Window (Refactor V&lt;-&gt;C)</t>
  </si>
  <si>
    <t>initialisation de l’application dans main (au lieu de App et MainWindow), scaling de la fenêtre dans utils, handleMessage dans GameController, sendMessage dans Window (Refactor V&lt;-&gt;C)</t>
  </si>
  <si>
    <t>ajouter enum pour type de Message pour que l’interface Message ne soit pas vide et pour pouvoir utiliser des switch case au lieu de if instanceof (Refactor V&lt;-&gt;C)</t>
  </si>
  <si>
    <t>bouger tous les switch window de GameController à ViewManager</t>
  </si>
  <si>
    <t>bouger switchToBattleEnd de GameController à ViewManager (Refactor V&lt;-&gt;C)</t>
  </si>
  <si>
    <t>bouger switchToLevelUpWindow de GameController à ViewManager (Refactor V&lt;-&gt;C)</t>
  </si>
  <si>
    <t>BattleWindow (messages pour les actions, fin de partie, pas de new StrategyRandom, pas de new Thread, …) (Refactor V&lt;-&gt;C)</t>
  </si>
  <si>
    <t xml:space="preserve"> Rugile</t>
  </si>
  <si>
    <t xml:space="preserve"> Daniel.B</t>
  </si>
  <si>
    <t>refactor BattleWindow en plus petite classes et fonctions (Refactor V&lt;-&gt;C)</t>
  </si>
  <si>
    <t>FloorRewardWindow (bouger SwitchToNextRoomWindow à ViewManager) (Refactor V&lt;-&gt;C)</t>
  </si>
  <si>
    <t>LevelUpWindow (message pour indiquer la récompense choisie) (Refactor V&lt;-&gt;C)</t>
  </si>
  <si>
    <t>NextRoomWindow (message pour switch de room) (Refactor V&lt;-&gt;C)</t>
  </si>
  <si>
    <t>refactor BattleEnd, manuel abilities et auto (Refactor V&lt;-&gt;C)</t>
  </si>
  <si>
    <t>fix sélection plus de 6 bugemons dans CreateTeamWindow</t>
  </si>
  <si>
    <t>button cacher lors de selection de 6 bugémons</t>
  </si>
  <si>
    <t>Ajout d’un bouton retour en arrière dans le BattleModeWindow</t>
  </si>
  <si>
    <t>Ajouter un petit délai lorsqu’on tue un bugémon et que la partie est finie</t>
  </si>
  <si>
    <t>Fix app ne se ferme pas correctement</t>
  </si>
  <si>
    <t xml:space="preserve"> Daniel.C</t>
  </si>
  <si>
    <t>Divers (heures supp)</t>
  </si>
  <si>
    <t>Mise à jour de Battle par rapport à main</t>
  </si>
  <si>
    <t>Mise à jour esthétique de l’interface</t>
  </si>
  <si>
    <t>Meilleur message de jeu</t>
  </si>
  <si>
    <t>HISTOIRE 1</t>
  </si>
  <si>
    <t>Tâche 1</t>
  </si>
  <si>
    <t>Tâche 2</t>
  </si>
  <si>
    <t>Tâche 3</t>
  </si>
  <si>
    <t>Tâche 4</t>
  </si>
  <si>
    <t>Tâche 5</t>
  </si>
  <si>
    <t>Tâche 6</t>
  </si>
  <si>
    <t>Tâche 7</t>
  </si>
  <si>
    <t>Tâche 8</t>
  </si>
  <si>
    <t>Tâche 9</t>
  </si>
  <si>
    <t>Tâche 10</t>
  </si>
  <si>
    <t>HISTOIRE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</si>
</sst>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00000"/>
    <numFmt numFmtId="166" formatCode="0.###"/>
    <numFmt numFmtId="167" formatCode="DD/MM/YYYY"/>
  </numFmts>
  <fonts count="13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0.0"/>
      <color rgb="FF000000"/>
      <name val="Arial"/>
    </font>
    <font>
      <color rgb="FF000000"/>
      <name val="Arial"/>
    </font>
    <font>
      <sz val="11.0"/>
      <color rgb="FF000000"/>
      <name val="Georgia"/>
    </font>
    <font>
      <b/>
      <sz val="14.0"/>
      <color rgb="FF000000"/>
      <name val="Georgia"/>
    </font>
    <font/>
    <font>
      <b/>
      <sz val="11.0"/>
      <color rgb="FF000000"/>
      <name val="Georgia"/>
    </font>
    <font>
      <sz val="12.0"/>
      <color rgb="FF000000"/>
      <name val="Georgia"/>
    </font>
    <font>
      <b/>
      <sz val="12.0"/>
      <color rgb="FF000000"/>
      <name val="Georgia"/>
    </font>
    <font>
      <b/>
      <sz val="10.0"/>
      <color rgb="FF000000"/>
      <name val="Georgia"/>
    </font>
    <font>
      <sz val="10.0"/>
      <color rgb="FF000000"/>
      <name val="Georgia"/>
    </font>
  </fonts>
  <fills count="12">
    <fill>
      <patternFill patternType="none"/>
    </fill>
    <fill>
      <patternFill patternType="lightGray"/>
    </fill>
    <fill>
      <patternFill patternType="solid">
        <fgColor rgb="FFFFFFF3"/>
        <bgColor rgb="FFFFFFF3"/>
      </patternFill>
    </fill>
    <fill>
      <patternFill patternType="solid">
        <fgColor rgb="FFFBFFFF"/>
        <bgColor rgb="FFFBFFFF"/>
      </patternFill>
    </fill>
    <fill>
      <patternFill patternType="solid">
        <fgColor rgb="FFA9D08E"/>
        <bgColor rgb="FFA9D08E"/>
      </patternFill>
    </fill>
    <fill>
      <patternFill patternType="solid">
        <fgColor rgb="FFFFC000"/>
        <bgColor rgb="FFFFC000"/>
      </patternFill>
    </fill>
    <fill>
      <patternFill patternType="solid">
        <fgColor rgb="FF99CCFF"/>
        <bgColor rgb="FF99CCFF"/>
      </patternFill>
    </fill>
    <fill>
      <patternFill patternType="solid">
        <fgColor rgb="FFB4C6E7"/>
        <bgColor rgb="FFB4C6E7"/>
      </patternFill>
    </fill>
    <fill>
      <patternFill patternType="solid">
        <fgColor rgb="FF339966"/>
        <bgColor rgb="FF339966"/>
      </patternFill>
    </fill>
    <fill>
      <patternFill patternType="solid">
        <fgColor rgb="FFFFD966"/>
        <bgColor rgb="FFFFD966"/>
      </patternFill>
    </fill>
    <fill>
      <patternFill patternType="solid">
        <fgColor rgb="FF8EA9DB"/>
        <bgColor rgb="FF8EA9DB"/>
      </patternFill>
    </fill>
    <fill>
      <patternFill patternType="solid">
        <fgColor rgb="FFF4B084"/>
        <bgColor rgb="FFF4B084"/>
      </patternFill>
    </fill>
  </fills>
  <borders count="15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/>
      <right/>
      <top/>
      <bottom/>
    </border>
    <border>
      <right style="hair">
        <color rgb="FF000000"/>
      </right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4" fillId="2" fontId="2" numFmtId="0" xfId="0" applyAlignment="1" applyBorder="1" applyFill="1" applyFont="1">
      <alignment horizontal="center" readingOrder="0" shrinkToFit="0" vertical="bottom" wrapText="0"/>
    </xf>
    <xf borderId="4" fillId="3" fontId="2" numFmtId="0" xfId="0" applyAlignment="1" applyBorder="1" applyFill="1" applyFont="1">
      <alignment horizontal="center" readingOrder="0" shrinkToFit="0" vertical="bottom" wrapText="0"/>
    </xf>
    <xf borderId="5" fillId="3" fontId="2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7" fillId="4" fontId="1" numFmtId="0" xfId="0" applyAlignment="1" applyBorder="1" applyFill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horizontal="center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0" fillId="5" fontId="4" numFmtId="0" xfId="0" applyAlignment="1" applyFill="1" applyFont="1">
      <alignment horizontal="right" readingOrder="0" shrinkToFit="0" vertical="bottom" wrapText="0"/>
    </xf>
    <xf borderId="9" fillId="0" fontId="2" numFmtId="0" xfId="0" applyAlignment="1" applyBorder="1" applyFont="1">
      <alignment horizontal="center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4" fillId="2" fontId="2" numFmtId="0" xfId="0" applyAlignment="1" applyBorder="1" applyFont="1">
      <alignment horizontal="center" shrinkToFit="0" vertical="bottom" wrapText="0"/>
    </xf>
    <xf borderId="4" fillId="3" fontId="2" numFmtId="0" xfId="0" applyAlignment="1" applyBorder="1" applyFont="1">
      <alignment horizontal="center" shrinkToFit="0" vertical="bottom" wrapText="0"/>
    </xf>
    <xf borderId="5" fillId="3" fontId="2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10" fillId="6" fontId="6" numFmtId="0" xfId="0" applyAlignment="1" applyBorder="1" applyFill="1" applyFont="1">
      <alignment horizontal="center" shrinkToFit="0" vertical="bottom" wrapText="0"/>
    </xf>
    <xf borderId="2" fillId="0" fontId="7" numFmtId="0" xfId="0" applyBorder="1" applyFont="1"/>
    <xf borderId="3" fillId="0" fontId="7" numFmtId="0" xfId="0" applyBorder="1" applyFont="1"/>
    <xf borderId="1" fillId="0" fontId="6" numFmtId="0" xfId="0" applyAlignment="1" applyBorder="1" applyFont="1">
      <alignment shrinkToFit="0" vertical="bottom" wrapText="0"/>
    </xf>
    <xf borderId="11" fillId="7" fontId="8" numFmtId="0" xfId="0" applyAlignment="1" applyBorder="1" applyFill="1" applyFont="1">
      <alignment horizontal="left" shrinkToFit="0" vertical="bottom" wrapText="0"/>
    </xf>
    <xf borderId="11" fillId="7" fontId="8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horizontal="center" shrinkToFit="0" vertical="bottom" wrapText="0"/>
    </xf>
    <xf borderId="11" fillId="7" fontId="8" numFmtId="2" xfId="0" applyAlignment="1" applyBorder="1" applyFont="1" applyNumberForma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1" fillId="8" fontId="6" numFmtId="0" xfId="0" applyAlignment="1" applyBorder="1" applyFill="1" applyFont="1">
      <alignment horizontal="center" shrinkToFit="0" vertical="bottom" wrapText="0"/>
    </xf>
    <xf borderId="1" fillId="0" fontId="10" numFmtId="2" xfId="0" applyAlignment="1" applyBorder="1" applyFont="1" applyNumberFormat="1">
      <alignment horizontal="center" shrinkToFit="0" vertical="bottom" wrapText="0"/>
    </xf>
    <xf borderId="1" fillId="0" fontId="10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13" fillId="9" fontId="8" numFmtId="0" xfId="0" applyAlignment="1" applyBorder="1" applyFill="1" applyFont="1">
      <alignment horizontal="center" shrinkToFit="0" vertical="center" wrapText="0"/>
    </xf>
    <xf borderId="14" fillId="0" fontId="7" numFmtId="0" xfId="0" applyBorder="1" applyFont="1"/>
    <xf borderId="13" fillId="7" fontId="8" numFmtId="0" xfId="0" applyAlignment="1" applyBorder="1" applyFont="1">
      <alignment horizontal="center" shrinkToFit="0" vertical="bottom" wrapText="0"/>
    </xf>
    <xf borderId="13" fillId="4" fontId="8" numFmtId="0" xfId="0" applyAlignment="1" applyBorder="1" applyFont="1">
      <alignment horizontal="center" shrinkToFit="0" vertical="bottom" wrapText="0"/>
    </xf>
    <xf borderId="11" fillId="10" fontId="8" numFmtId="0" xfId="0" applyAlignment="1" applyBorder="1" applyFill="1" applyFont="1">
      <alignment horizontal="center" shrinkToFit="0" vertical="bottom" wrapText="0"/>
    </xf>
    <xf borderId="11" fillId="11" fontId="8" numFmtId="0" xfId="0" applyAlignment="1" applyBorder="1" applyFill="1" applyFont="1">
      <alignment horizontal="center" shrinkToFit="0" vertical="bottom" wrapText="0"/>
    </xf>
    <xf borderId="0" fillId="0" fontId="11" numFmtId="164" xfId="0" applyAlignment="1" applyFont="1" applyNumberFormat="1">
      <alignment horizontal="center" readingOrder="0" shrinkToFit="0" vertical="bottom" wrapText="1"/>
    </xf>
    <xf borderId="0" fillId="0" fontId="5" numFmtId="0" xfId="0" applyAlignment="1" applyFont="1">
      <alignment horizontal="center" shrinkToFit="0" vertical="bottom" wrapText="0"/>
    </xf>
    <xf borderId="0" fillId="0" fontId="5" numFmtId="2" xfId="0" applyAlignment="1" applyFont="1" applyNumberForma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2" xfId="0" applyAlignment="1" applyFont="1" applyNumberFormat="1">
      <alignment horizontal="right" shrinkToFit="0" vertical="bottom" wrapText="0"/>
    </xf>
    <xf borderId="0" fillId="0" fontId="3" numFmtId="0" xfId="0" applyAlignment="1" applyFont="1">
      <alignment shrinkToFit="0" vertical="bottom" wrapText="1"/>
    </xf>
    <xf borderId="0" fillId="0" fontId="5" numFmtId="165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0" fontId="5" numFmtId="1" xfId="0" applyAlignment="1" applyFont="1" applyNumberFormat="1">
      <alignment shrinkToFit="0" vertical="bottom" wrapText="0"/>
    </xf>
    <xf borderId="0" fillId="0" fontId="5" numFmtId="1" xfId="0" applyAlignment="1" applyFont="1" applyNumberFormat="1">
      <alignment horizontal="right" shrinkToFit="0" vertical="bottom" wrapText="0"/>
    </xf>
    <xf borderId="1" fillId="0" fontId="9" numFmtId="166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shrinkToFit="0" vertical="bottom" wrapText="1"/>
    </xf>
    <xf borderId="10" fillId="6" fontId="6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0" fillId="0" fontId="12" numFmtId="0" xfId="0" applyAlignment="1" applyFont="1">
      <alignment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center" shrinkToFit="0" vertical="bottom" wrapText="0"/>
    </xf>
    <xf borderId="13" fillId="7" fontId="8" numFmtId="0" xfId="0" applyAlignment="1" applyBorder="1" applyFont="1">
      <alignment horizontal="center" readingOrder="0" shrinkToFit="0" vertical="bottom" wrapText="0"/>
    </xf>
    <xf borderId="12" fillId="0" fontId="7" numFmtId="0" xfId="0" applyBorder="1" applyFont="1"/>
    <xf borderId="0" fillId="0" fontId="11" numFmtId="167" xfId="0" applyAlignment="1" applyFont="1" applyNumberForma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11" numFmtId="167" xfId="0" applyAlignment="1" applyFont="1" applyNumberFormat="1">
      <alignment horizontal="center" shrinkToFit="0" vertical="bottom" wrapText="1"/>
    </xf>
  </cellXfs>
  <cellStyles count="1">
    <cellStyle xfId="0" name="Normal" builtinId="0"/>
  </cellStyles>
  <dxfs count="1">
    <dxf>
      <font>
        <color rgb="FF000000"/>
        <name val="Calibri"/>
      </font>
      <numFmt numFmtId="0" formatCode=""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rgbClr val="004586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004586">
                  <a:alpha val="100000"/>
                </a:srgbClr>
              </a:solidFill>
              <a:ln cmpd="sng">
                <a:solidFill>
                  <a:srgbClr val="004586">
                    <a:alpha val="100000"/>
                  </a:srgbClr>
                </a:solidFill>
              </a:ln>
            </c:spPr>
          </c:marker>
          <c:cat>
            <c:strRef>
              <c:f>Overview!$C$32:$G$32</c:f>
            </c:strRef>
          </c:cat>
          <c:val>
            <c:numRef>
              <c:f>Overview!$C$33:$G$33</c:f>
              <c:numCache/>
            </c:numRef>
          </c:val>
          <c:smooth val="0"/>
        </c:ser>
        <c:axId val="433229663"/>
        <c:axId val="1465346434"/>
      </c:lineChart>
      <c:catAx>
        <c:axId val="433229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65346434"/>
      </c:catAx>
      <c:valAx>
        <c:axId val="14653464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3322966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Histoire 1</c:v>
          </c:tx>
          <c:spPr>
            <a:ln cmpd="sng" w="38100">
              <a:solidFill>
                <a:srgbClr val="115472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115472">
                  <a:alpha val="100000"/>
                </a:srgbClr>
              </a:solidFill>
              <a:ln cmpd="sng">
                <a:solidFill>
                  <a:srgbClr val="115472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Overview!$C$3:$G$3</c:f>
              <c:numCache/>
            </c:numRef>
          </c:val>
          <c:smooth val="0"/>
        </c:ser>
        <c:ser>
          <c:idx val="1"/>
          <c:order val="1"/>
          <c:tx>
            <c:v>Histoire 2</c:v>
          </c:tx>
          <c:spPr>
            <a:ln cmpd="sng" w="19050">
              <a:solidFill>
                <a:srgbClr val="4472C4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472C4">
                  <a:alpha val="100000"/>
                </a:srgbClr>
              </a:solidFill>
              <a:ln cmpd="sng">
                <a:solidFill>
                  <a:srgbClr val="4472C4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Overview!$C$4:$G$4</c:f>
              <c:numCache/>
            </c:numRef>
          </c:val>
          <c:smooth val="0"/>
        </c:ser>
        <c:ser>
          <c:idx val="2"/>
          <c:order val="2"/>
          <c:tx>
            <c:v>Histoire 3</c:v>
          </c:tx>
          <c:spPr>
            <a:ln cmpd="sng" w="19050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Overview!$C$5:$G$5</c:f>
              <c:numCache/>
            </c:numRef>
          </c:val>
          <c:smooth val="0"/>
        </c:ser>
        <c:ser>
          <c:idx val="3"/>
          <c:order val="3"/>
          <c:tx>
            <c:v>Histoire 4</c:v>
          </c:tx>
          <c:spPr>
            <a:ln cmpd="sng" w="19050">
              <a:solidFill>
                <a:srgbClr val="A5A5A5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A5A5A5">
                  <a:alpha val="100000"/>
                </a:srgbClr>
              </a:solidFill>
              <a:ln cmpd="sng">
                <a:solidFill>
                  <a:srgbClr val="A5A5A5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Overview!$C$6:$G$6</c:f>
              <c:numCache/>
            </c:numRef>
          </c:val>
          <c:smooth val="0"/>
        </c:ser>
        <c:ser>
          <c:idx val="4"/>
          <c:order val="4"/>
          <c:tx>
            <c:v>Histoire 5</c:v>
          </c:tx>
          <c:spPr>
            <a:ln cmpd="sng" w="19050">
              <a:solidFill>
                <a:srgbClr val="FFC0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FC000">
                  <a:alpha val="100000"/>
                </a:srgbClr>
              </a:solidFill>
              <a:ln cmpd="sng">
                <a:solidFill>
                  <a:srgbClr val="FFC000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Overview!$C$7:$G$7</c:f>
              <c:numCache/>
            </c:numRef>
          </c:val>
          <c:smooth val="0"/>
        </c:ser>
        <c:ser>
          <c:idx val="5"/>
          <c:order val="5"/>
          <c:tx>
            <c:v>Histoire 6</c:v>
          </c:tx>
          <c:spPr>
            <a:ln cmpd="sng" w="19050">
              <a:solidFill>
                <a:srgbClr val="5B9BD5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5B9BD5">
                  <a:alpha val="100000"/>
                </a:srgbClr>
              </a:solidFill>
              <a:ln cmpd="sng">
                <a:solidFill>
                  <a:srgbClr val="5B9BD5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Overview!$C$8:$G$8</c:f>
              <c:numCache/>
            </c:numRef>
          </c:val>
          <c:smooth val="0"/>
        </c:ser>
        <c:ser>
          <c:idx val="6"/>
          <c:order val="6"/>
          <c:tx>
            <c:v>Histoire 7</c:v>
          </c:tx>
          <c:spPr>
            <a:ln cmpd="sng" w="19050">
              <a:solidFill>
                <a:srgbClr val="70AD47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70AD47">
                  <a:alpha val="100000"/>
                </a:srgbClr>
              </a:solidFill>
              <a:ln cmpd="sng">
                <a:solidFill>
                  <a:srgbClr val="70AD47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Overview!$C$9:$G$9</c:f>
              <c:numCache/>
            </c:numRef>
          </c:val>
          <c:smooth val="0"/>
        </c:ser>
        <c:ser>
          <c:idx val="7"/>
          <c:order val="7"/>
          <c:tx>
            <c:v>Histoire 8</c:v>
          </c:tx>
          <c:spPr>
            <a:ln cmpd="sng" w="19050">
              <a:solidFill>
                <a:srgbClr val="9973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997300">
                  <a:alpha val="100000"/>
                </a:srgbClr>
              </a:solidFill>
              <a:ln cmpd="sng">
                <a:solidFill>
                  <a:srgbClr val="997300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Overview!$C$10:$G$10</c:f>
              <c:numCache/>
            </c:numRef>
          </c:val>
          <c:smooth val="0"/>
        </c:ser>
        <c:ser>
          <c:idx val="8"/>
          <c:order val="8"/>
          <c:tx>
            <c:v>Histoire 9</c:v>
          </c:tx>
          <c:spPr>
            <a:ln cmpd="sng" w="38100">
              <a:solidFill>
                <a:srgbClr val="CE632B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CE632B">
                  <a:alpha val="100000"/>
                </a:srgbClr>
              </a:solidFill>
              <a:ln cmpd="sng">
                <a:solidFill>
                  <a:srgbClr val="CE632B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Overview!$C$11:$G$11</c:f>
              <c:numCache/>
            </c:numRef>
          </c:val>
          <c:smooth val="0"/>
        </c:ser>
        <c:ser>
          <c:idx val="9"/>
          <c:order val="9"/>
          <c:tx>
            <c:v>Histoire 10</c:v>
          </c:tx>
          <c:spPr>
            <a:ln cmpd="sng" w="38100">
              <a:solidFill>
                <a:srgbClr val="155E1F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155E1F">
                  <a:alpha val="100000"/>
                </a:srgbClr>
              </a:solidFill>
              <a:ln cmpd="sng">
                <a:solidFill>
                  <a:srgbClr val="155E1F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Overview!$C$12:$G$12</c:f>
              <c:numCache/>
            </c:numRef>
          </c:val>
          <c:smooth val="0"/>
        </c:ser>
        <c:ser>
          <c:idx val="10"/>
          <c:order val="10"/>
          <c:tx>
            <c:v>Histoire 11</c:v>
          </c:tx>
          <c:spPr>
            <a:ln cmpd="sng" w="38100">
              <a:solidFill>
                <a:srgbClr val="8D2582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8D2582">
                  <a:alpha val="100000"/>
                </a:srgbClr>
              </a:solidFill>
              <a:ln cmpd="sng">
                <a:solidFill>
                  <a:srgbClr val="8D2582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Overview!$C$13:$G$13</c:f>
              <c:numCache/>
            </c:numRef>
          </c:val>
          <c:smooth val="0"/>
        </c:ser>
        <c:ser>
          <c:idx val="11"/>
          <c:order val="11"/>
          <c:tx>
            <c:v>Histoire 12</c:v>
          </c:tx>
          <c:spPr>
            <a:ln cmpd="sng" w="38100">
              <a:solidFill>
                <a:srgbClr val="449328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49328">
                  <a:alpha val="100000"/>
                </a:srgbClr>
              </a:solidFill>
              <a:ln cmpd="sng">
                <a:solidFill>
                  <a:srgbClr val="449328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Overview!$C$14:$G$14</c:f>
              <c:numCache/>
            </c:numRef>
          </c:val>
          <c:smooth val="0"/>
        </c:ser>
        <c:ser>
          <c:idx val="12"/>
          <c:order val="12"/>
          <c:tx>
            <c:v>Histoire 13</c:v>
          </c:tx>
          <c:spPr>
            <a:ln cmpd="sng" w="38100">
              <a:solidFill>
                <a:srgbClr val="156082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156082">
                  <a:alpha val="100000"/>
                </a:srgbClr>
              </a:solidFill>
              <a:ln cmpd="sng">
                <a:solidFill>
                  <a:srgbClr val="156082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Overview!$C$15:$G$15</c:f>
              <c:numCache/>
            </c:numRef>
          </c:val>
          <c:smooth val="0"/>
        </c:ser>
        <c:ser>
          <c:idx val="13"/>
          <c:order val="13"/>
          <c:tx>
            <c:v>Histoire 14</c:v>
          </c:tx>
          <c:spPr>
            <a:ln cmpd="sng" w="38100">
              <a:solidFill>
                <a:srgbClr val="E97132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E97132">
                  <a:alpha val="100000"/>
                </a:srgbClr>
              </a:solidFill>
              <a:ln cmpd="sng">
                <a:solidFill>
                  <a:srgbClr val="E97132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Overview!$C$16:$G$16</c:f>
              <c:numCache/>
            </c:numRef>
          </c:val>
          <c:smooth val="0"/>
        </c:ser>
        <c:ser>
          <c:idx val="14"/>
          <c:order val="14"/>
          <c:tx>
            <c:v>Histoire 15</c:v>
          </c:tx>
          <c:spPr>
            <a:ln cmpd="sng" w="38100">
              <a:solidFill>
                <a:srgbClr val="196B24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196B24">
                  <a:alpha val="100000"/>
                </a:srgbClr>
              </a:solidFill>
              <a:ln cmpd="sng">
                <a:solidFill>
                  <a:srgbClr val="196B24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Overview!$C$17:$G$17</c:f>
              <c:numCache/>
            </c:numRef>
          </c:val>
          <c:smooth val="0"/>
        </c:ser>
        <c:ser>
          <c:idx val="15"/>
          <c:order val="15"/>
          <c:tx>
            <c:v>Histoire 16</c:v>
          </c:tx>
          <c:spPr>
            <a:ln cmpd="sng" w="38100">
              <a:solidFill>
                <a:srgbClr val="0F9ED5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0F9ED5">
                  <a:alpha val="100000"/>
                </a:srgbClr>
              </a:solidFill>
              <a:ln cmpd="sng">
                <a:solidFill>
                  <a:srgbClr val="0F9ED5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Overview!$C$18:$G$18</c:f>
              <c:numCache/>
            </c:numRef>
          </c:val>
          <c:smooth val="0"/>
        </c:ser>
        <c:ser>
          <c:idx val="16"/>
          <c:order val="16"/>
          <c:tx>
            <c:v>Histoire 17</c:v>
          </c:tx>
          <c:spPr>
            <a:ln cmpd="sng" w="38100">
              <a:solidFill>
                <a:srgbClr val="A02B93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A02B93">
                  <a:alpha val="100000"/>
                </a:srgbClr>
              </a:solidFill>
              <a:ln cmpd="sng">
                <a:solidFill>
                  <a:srgbClr val="A02B93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Overview!$C$19:$G$19</c:f>
              <c:numCache/>
            </c:numRef>
          </c:val>
          <c:smooth val="0"/>
        </c:ser>
        <c:ser>
          <c:idx val="17"/>
          <c:order val="17"/>
          <c:tx>
            <c:v>Histoire 18</c:v>
          </c:tx>
          <c:spPr>
            <a:ln cmpd="sng" w="38100">
              <a:solidFill>
                <a:srgbClr val="4EA72E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EA72E">
                  <a:alpha val="100000"/>
                </a:srgbClr>
              </a:solidFill>
              <a:ln cmpd="sng">
                <a:solidFill>
                  <a:srgbClr val="4EA72E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Overview!$C$20:$G$20</c:f>
              <c:numCache/>
            </c:numRef>
          </c:val>
          <c:smooth val="0"/>
        </c:ser>
        <c:ser>
          <c:idx val="18"/>
          <c:order val="18"/>
          <c:tx>
            <c:v>Histoire 19</c:v>
          </c:tx>
          <c:spPr>
            <a:ln cmpd="sng" w="38100">
              <a:solidFill>
                <a:srgbClr val="8599AA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8599AA">
                  <a:alpha val="100000"/>
                </a:srgbClr>
              </a:solidFill>
              <a:ln cmpd="sng">
                <a:solidFill>
                  <a:srgbClr val="8599AA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Overview!$C$21:$G$21</c:f>
              <c:numCache/>
            </c:numRef>
          </c:val>
          <c:smooth val="0"/>
        </c:ser>
        <c:ser>
          <c:idx val="19"/>
          <c:order val="19"/>
          <c:tx>
            <c:v>Histoire 20</c:v>
          </c:tx>
          <c:spPr>
            <a:ln cmpd="sng" w="38100">
              <a:solidFill>
                <a:srgbClr val="EEA18A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EEA18A">
                  <a:alpha val="100000"/>
                </a:srgbClr>
              </a:solidFill>
              <a:ln cmpd="sng">
                <a:solidFill>
                  <a:srgbClr val="EEA18A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Overview!$C$22:$G$22</c:f>
              <c:numCache/>
            </c:numRef>
          </c:val>
          <c:smooth val="0"/>
        </c:ser>
        <c:ser>
          <c:idx val="20"/>
          <c:order val="20"/>
          <c:tx>
            <c:v>Histoire 21</c:v>
          </c:tx>
          <c:spPr>
            <a:ln cmpd="sng" w="38100">
              <a:solidFill>
                <a:srgbClr val="869E87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869E87">
                  <a:alpha val="100000"/>
                </a:srgbClr>
              </a:solidFill>
              <a:ln cmpd="sng">
                <a:solidFill>
                  <a:srgbClr val="869E87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Overview!$C$23:$G$23</c:f>
              <c:numCache/>
            </c:numRef>
          </c:val>
          <c:smooth val="0"/>
        </c:ser>
        <c:ser>
          <c:idx val="21"/>
          <c:order val="21"/>
          <c:tx>
            <c:v>Histoire 22</c:v>
          </c:tx>
          <c:spPr>
            <a:ln cmpd="sng" w="38100">
              <a:solidFill>
                <a:srgbClr val="85BAE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85BAE0">
                  <a:alpha val="100000"/>
                </a:srgbClr>
              </a:solidFill>
              <a:ln cmpd="sng">
                <a:solidFill>
                  <a:srgbClr val="85BAE0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Overview!$C$24:$G$24</c:f>
              <c:numCache/>
            </c:numRef>
          </c:val>
          <c:smooth val="0"/>
        </c:ser>
        <c:ser>
          <c:idx val="22"/>
          <c:order val="22"/>
          <c:tx>
            <c:v>Histoire 23</c:v>
          </c:tx>
          <c:spPr>
            <a:ln cmpd="sng" w="38100">
              <a:solidFill>
                <a:srgbClr val="BC89B4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BC89B4">
                  <a:alpha val="100000"/>
                </a:srgbClr>
              </a:solidFill>
              <a:ln cmpd="sng">
                <a:solidFill>
                  <a:srgbClr val="BC89B4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Overview!$C$25:$G$25</c:f>
              <c:numCache/>
            </c:numRef>
          </c:val>
          <c:smooth val="0"/>
        </c:ser>
        <c:ser>
          <c:idx val="23"/>
          <c:order val="23"/>
          <c:tx>
            <c:v>Histoire 24</c:v>
          </c:tx>
          <c:spPr>
            <a:ln cmpd="sng" w="38100">
              <a:solidFill>
                <a:srgbClr val="92C089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92C089">
                  <a:alpha val="100000"/>
                </a:srgbClr>
              </a:solidFill>
              <a:ln cmpd="sng">
                <a:solidFill>
                  <a:srgbClr val="92C089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Overview!$C$26:$G$26</c:f>
              <c:numCache/>
            </c:numRef>
          </c:val>
          <c:smooth val="0"/>
        </c:ser>
        <c:ser>
          <c:idx val="24"/>
          <c:order val="24"/>
          <c:tx>
            <c:v>Histoire 25</c:v>
          </c:tx>
          <c:spPr>
            <a:ln cmpd="sng" w="38100">
              <a:solidFill>
                <a:srgbClr val="B5BFC8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B5BFC8">
                  <a:alpha val="100000"/>
                </a:srgbClr>
              </a:solidFill>
              <a:ln cmpd="sng">
                <a:solidFill>
                  <a:srgbClr val="B5BFC8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Overview!$C$27:$G$27</c:f>
              <c:numCache/>
            </c:numRef>
          </c:val>
          <c:smooth val="0"/>
        </c:ser>
        <c:ser>
          <c:idx val="25"/>
          <c:order val="25"/>
          <c:tx>
            <c:v>Histoire 26</c:v>
          </c:tx>
          <c:spPr>
            <a:ln cmpd="sng" w="38100">
              <a:solidFill>
                <a:srgbClr val="F3C4B8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3C4B8">
                  <a:alpha val="100000"/>
                </a:srgbClr>
              </a:solidFill>
              <a:ln cmpd="sng">
                <a:solidFill>
                  <a:srgbClr val="F3C4B8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Overview!$C$28:$G$28</c:f>
              <c:numCache/>
            </c:numRef>
          </c:val>
          <c:smooth val="0"/>
        </c:ser>
        <c:ser>
          <c:idx val="26"/>
          <c:order val="26"/>
          <c:tx>
            <c:v>Histoire 27</c:v>
          </c:tx>
          <c:spPr>
            <a:ln cmpd="sng" w="38100">
              <a:solidFill>
                <a:srgbClr val="B6C2B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B6C2B6">
                  <a:alpha val="100000"/>
                </a:srgbClr>
              </a:solidFill>
              <a:ln cmpd="sng">
                <a:solidFill>
                  <a:srgbClr val="B6C2B6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Overview!$C$29:$G$29</c:f>
              <c:numCache/>
            </c:numRef>
          </c:val>
          <c:smooth val="0"/>
        </c:ser>
        <c:ser>
          <c:idx val="27"/>
          <c:order val="27"/>
          <c:tx>
            <c:v>Histoire 28</c:v>
          </c:tx>
          <c:spPr>
            <a:ln cmpd="sng" w="38100">
              <a:solidFill>
                <a:srgbClr val="B5D2EA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B5D2EA">
                  <a:alpha val="100000"/>
                </a:srgbClr>
              </a:solidFill>
              <a:ln cmpd="sng">
                <a:solidFill>
                  <a:srgbClr val="B5D2EA">
                    <a:alpha val="100000"/>
                  </a:srgbClr>
                </a:solidFill>
              </a:ln>
            </c:spPr>
          </c:marker>
          <c:cat>
            <c:strRef>
              <c:f>Overview!$C$2:$G$2</c:f>
            </c:strRef>
          </c:cat>
          <c:val>
            <c:numRef>
              <c:f>Overview!$C$30:$G$30</c:f>
              <c:numCache/>
            </c:numRef>
          </c:val>
          <c:smooth val="0"/>
        </c:ser>
        <c:axId val="1175158592"/>
        <c:axId val="1923079120"/>
      </c:lineChart>
      <c:catAx>
        <c:axId val="1175158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700">
                <a:solidFill>
                  <a:srgbClr val="595959"/>
                </a:solidFill>
                <a:latin typeface="Calibri"/>
              </a:defRPr>
            </a:pPr>
          </a:p>
        </c:txPr>
        <c:crossAx val="1923079120"/>
      </c:catAx>
      <c:valAx>
        <c:axId val="19230791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117515859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595959"/>
                </a:solidFill>
                <a:latin typeface="Calibri"/>
              </a:defRPr>
            </a:pPr>
            <a:r>
              <a:rPr b="0" i="0" sz="1300">
                <a:solidFill>
                  <a:srgbClr val="595959"/>
                </a:solidFill>
                <a:latin typeface="Calibri"/>
              </a:rPr>
              <a:t>Burndown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v>Idéal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'IT1'!$I$17:$I$30</c:f>
            </c:strRef>
          </c:cat>
          <c:val>
            <c:numRef>
              <c:f>'IT1'!$J$17:$J$30</c:f>
              <c:numCache/>
            </c:numRef>
          </c:val>
          <c:smooth val="0"/>
        </c:ser>
        <c:ser>
          <c:idx val="1"/>
          <c:order val="1"/>
          <c:tx>
            <c:v>Réel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'IT1'!$I$17:$I$30</c:f>
            </c:strRef>
          </c:cat>
          <c:val>
            <c:numRef>
              <c:f>'IT1'!$K$17:$K$30</c:f>
              <c:numCache/>
            </c:numRef>
          </c:val>
          <c:smooth val="0"/>
        </c:ser>
        <c:axId val="1668742899"/>
        <c:axId val="150052945"/>
      </c:lineChart>
      <c:catAx>
        <c:axId val="1668742899"/>
        <c:scaling>
          <c:orientation val="minMax"/>
          <c:max val="13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595959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595959"/>
                    </a:solidFill>
                    <a:latin typeface="Calibri"/>
                  </a:rPr>
                  <a:t>Jour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150052945"/>
      </c:catAx>
      <c:valAx>
        <c:axId val="150052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595959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595959"/>
                    </a:solidFill>
                    <a:latin typeface="Calibri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166874289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595959"/>
                </a:solidFill>
                <a:latin typeface="Calibri"/>
              </a:defRPr>
            </a:pPr>
            <a:r>
              <a:rPr b="0" i="0" sz="1300">
                <a:solidFill>
                  <a:srgbClr val="595959"/>
                </a:solidFill>
                <a:latin typeface="Calibri"/>
              </a:rPr>
              <a:t>Burndown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v>Idéal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'IT2'!$J$15:$J$28</c:f>
            </c:strRef>
          </c:cat>
          <c:val>
            <c:numRef>
              <c:f>'IT2'!$K$15:$K$28</c:f>
              <c:numCache/>
            </c:numRef>
          </c:val>
          <c:smooth val="0"/>
        </c:ser>
        <c:ser>
          <c:idx val="1"/>
          <c:order val="1"/>
          <c:tx>
            <c:v>Réel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'IT2'!$J$15:$J$28</c:f>
            </c:strRef>
          </c:cat>
          <c:val>
            <c:numRef>
              <c:f>'IT2'!$L$15:$L$28</c:f>
              <c:numCache/>
            </c:numRef>
          </c:val>
          <c:smooth val="0"/>
        </c:ser>
        <c:axId val="316657830"/>
        <c:axId val="1490745845"/>
      </c:lineChart>
      <c:catAx>
        <c:axId val="316657830"/>
        <c:scaling>
          <c:orientation val="minMax"/>
          <c:max val="7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1490745845"/>
      </c:catAx>
      <c:valAx>
        <c:axId val="1490745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31665783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595959"/>
                </a:solidFill>
                <a:latin typeface="Calibri"/>
              </a:defRPr>
            </a:pPr>
            <a:r>
              <a:rPr b="0" i="0" sz="1300">
                <a:solidFill>
                  <a:srgbClr val="595959"/>
                </a:solidFill>
                <a:latin typeface="Calibri"/>
              </a:rPr>
              <a:t>Burndown Chart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Idéal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'IT3'!$J$15:$J$22</c:f>
            </c:numRef>
          </c:xVal>
          <c:yVal>
            <c:numRef>
              <c:f>'IT3'!$K$15:$K$22</c:f>
              <c:numCache/>
            </c:numRef>
          </c:yVal>
        </c:ser>
        <c:ser>
          <c:idx val="1"/>
          <c:order val="1"/>
          <c:tx>
            <c:v>Réel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'IT3'!$J$15:$J$22</c:f>
            </c:numRef>
          </c:xVal>
          <c:yVal>
            <c:numRef>
              <c:f>'IT3'!$L$15:$L$22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811978"/>
        <c:axId val="1301223799"/>
      </c:scatterChart>
      <c:valAx>
        <c:axId val="2032811978"/>
        <c:scaling>
          <c:orientation val="minMax"/>
          <c:max val="7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1301223799"/>
      </c:valAx>
      <c:valAx>
        <c:axId val="1301223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203281197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595959"/>
                </a:solidFill>
                <a:latin typeface="Calibri"/>
              </a:defRPr>
            </a:pPr>
            <a:r>
              <a:rPr b="0" i="0" sz="1300">
                <a:solidFill>
                  <a:srgbClr val="595959"/>
                </a:solidFill>
                <a:latin typeface="Calibri"/>
              </a:rPr>
              <a:t>Burndown chart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Idéal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'IT4'!$J$15:$J$22</c:f>
            </c:numRef>
          </c:xVal>
          <c:yVal>
            <c:numRef>
              <c:f>'IT4'!$K$15:$K$22</c:f>
              <c:numCache/>
            </c:numRef>
          </c:yVal>
        </c:ser>
        <c:ser>
          <c:idx val="1"/>
          <c:order val="1"/>
          <c:tx>
            <c:v>Réel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'IT4'!$J$15:$J$22</c:f>
            </c:numRef>
          </c:xVal>
          <c:yVal>
            <c:numRef>
              <c:f>'IT4'!$L$15:$L$22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542028"/>
        <c:axId val="1603967809"/>
      </c:scatterChart>
      <c:valAx>
        <c:axId val="444542028"/>
        <c:scaling>
          <c:orientation val="minMax"/>
          <c:max val="7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1603967809"/>
      </c:valAx>
      <c:valAx>
        <c:axId val="1603967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44454202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37</xdr:row>
      <xdr:rowOff>95250</xdr:rowOff>
    </xdr:from>
    <xdr:ext cx="6438900" cy="3209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247650</xdr:colOff>
      <xdr:row>1</xdr:row>
      <xdr:rowOff>28575</xdr:rowOff>
    </xdr:from>
    <xdr:ext cx="7829550" cy="62198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36</xdr:row>
      <xdr:rowOff>95250</xdr:rowOff>
    </xdr:from>
    <xdr:ext cx="6162675" cy="39814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1095375</xdr:colOff>
      <xdr:row>46</xdr:row>
      <xdr:rowOff>180975</xdr:rowOff>
    </xdr:from>
    <xdr:ext cx="6534150" cy="3829050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352425</xdr:colOff>
      <xdr:row>25</xdr:row>
      <xdr:rowOff>0</xdr:rowOff>
    </xdr:from>
    <xdr:ext cx="6781800" cy="39243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981075</xdr:colOff>
      <xdr:row>24</xdr:row>
      <xdr:rowOff>38100</xdr:rowOff>
    </xdr:from>
    <xdr:ext cx="6515100" cy="37147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6" width="13.57"/>
    <col customWidth="1" min="7" max="7" width="11.57"/>
    <col customWidth="1" min="8" max="26" width="8.71"/>
  </cols>
  <sheetData>
    <row r="1" ht="13.5" customHeight="1">
      <c r="A1" s="1"/>
      <c r="B1" s="1"/>
      <c r="C1" s="2"/>
      <c r="D1" s="3"/>
      <c r="E1" s="3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5" t="s">
        <v>0</v>
      </c>
      <c r="D2" s="6" t="s">
        <v>1</v>
      </c>
      <c r="E2" s="7" t="s">
        <v>2</v>
      </c>
      <c r="F2" s="6" t="s">
        <v>3</v>
      </c>
      <c r="G2" s="8" t="s">
        <v>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9" t="s">
        <v>5</v>
      </c>
      <c r="C3" s="10">
        <v>12.0</v>
      </c>
      <c r="D3" s="11">
        <v>0.0</v>
      </c>
      <c r="E3" s="12">
        <v>0.0</v>
      </c>
      <c r="F3" s="13"/>
      <c r="G3" s="1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4" t="s">
        <v>6</v>
      </c>
      <c r="C4" s="10">
        <v>6.0</v>
      </c>
      <c r="D4" s="10">
        <v>16.0</v>
      </c>
      <c r="E4" s="15">
        <f>8+15</f>
        <v>23</v>
      </c>
      <c r="F4" s="16"/>
      <c r="G4" s="1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4" t="s">
        <v>7</v>
      </c>
      <c r="C5" s="10">
        <v>9.0</v>
      </c>
      <c r="D5" s="10">
        <v>15.0</v>
      </c>
      <c r="E5" s="15">
        <v>4.0</v>
      </c>
      <c r="F5" s="16"/>
      <c r="G5" s="1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4" t="s">
        <v>8</v>
      </c>
      <c r="C6" s="10">
        <v>16.0</v>
      </c>
      <c r="D6" s="11">
        <v>0.0</v>
      </c>
      <c r="E6" s="15">
        <v>0.0</v>
      </c>
      <c r="F6" s="16"/>
      <c r="G6" s="1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4" t="s">
        <v>9</v>
      </c>
      <c r="C7" s="10">
        <v>15.0</v>
      </c>
      <c r="D7" s="17">
        <v>1.0</v>
      </c>
      <c r="E7" s="11">
        <v>0.0</v>
      </c>
      <c r="F7" s="16"/>
      <c r="G7" s="1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4" t="s">
        <v>10</v>
      </c>
      <c r="C8" s="10">
        <v>7.0</v>
      </c>
      <c r="D8" s="17">
        <v>1.0</v>
      </c>
      <c r="E8" s="11">
        <v>0.0</v>
      </c>
      <c r="F8" s="16"/>
      <c r="G8" s="1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4" t="s">
        <v>11</v>
      </c>
      <c r="C9" s="10">
        <v>8.0</v>
      </c>
      <c r="D9" s="17">
        <v>10.0</v>
      </c>
      <c r="E9" s="11">
        <v>0.0</v>
      </c>
      <c r="F9" s="16"/>
      <c r="G9" s="1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4" t="s">
        <v>12</v>
      </c>
      <c r="C10" s="10">
        <v>9.0</v>
      </c>
      <c r="D10" s="10">
        <v>23.0</v>
      </c>
      <c r="E10" s="15">
        <v>0.0</v>
      </c>
      <c r="F10" s="16"/>
      <c r="G10" s="1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4" t="s">
        <v>13</v>
      </c>
      <c r="C11" s="10">
        <v>15.0</v>
      </c>
      <c r="D11" s="10">
        <v>51.0</v>
      </c>
      <c r="E11" s="11">
        <v>0.0</v>
      </c>
      <c r="F11" s="16"/>
      <c r="G11" s="1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4" t="s">
        <v>14</v>
      </c>
      <c r="C12" s="10">
        <v>11.0</v>
      </c>
      <c r="D12" s="11">
        <v>0.0</v>
      </c>
      <c r="E12" s="15">
        <v>0.0</v>
      </c>
      <c r="F12" s="16"/>
      <c r="G12" s="1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4" t="s">
        <v>15</v>
      </c>
      <c r="C13" s="10">
        <v>9.0</v>
      </c>
      <c r="D13" s="10">
        <v>18.0</v>
      </c>
      <c r="E13" s="15">
        <v>8.0</v>
      </c>
      <c r="F13" s="16"/>
      <c r="G13" s="1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4" t="s">
        <v>16</v>
      </c>
      <c r="C14" s="10">
        <v>11.0</v>
      </c>
      <c r="D14" s="10">
        <v>21.0</v>
      </c>
      <c r="E14" s="15">
        <v>8.0</v>
      </c>
      <c r="F14" s="16"/>
      <c r="G14" s="1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4" t="s">
        <v>17</v>
      </c>
      <c r="C15" s="10">
        <v>11.0</v>
      </c>
      <c r="D15" s="10">
        <v>26.0</v>
      </c>
      <c r="E15" s="15">
        <v>8.0</v>
      </c>
      <c r="F15" s="16"/>
      <c r="G15" s="1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4" t="s">
        <v>18</v>
      </c>
      <c r="C16" s="10">
        <v>21.0</v>
      </c>
      <c r="D16" s="10">
        <v>48.0</v>
      </c>
      <c r="E16" s="15">
        <f>14+4</f>
        <v>18</v>
      </c>
      <c r="F16" s="16"/>
      <c r="G16" s="1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4" t="s">
        <v>19</v>
      </c>
      <c r="C17" s="10">
        <v>17.0</v>
      </c>
      <c r="D17" s="10">
        <v>29.0</v>
      </c>
      <c r="E17" s="15">
        <f>6+6</f>
        <v>12</v>
      </c>
      <c r="F17" s="16"/>
      <c r="G17" s="1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4" t="s">
        <v>20</v>
      </c>
      <c r="C18" s="10">
        <v>16.0</v>
      </c>
      <c r="D18" s="10">
        <v>29.0</v>
      </c>
      <c r="E18" s="15">
        <v>4.0</v>
      </c>
      <c r="F18" s="16"/>
      <c r="G18" s="1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4" t="s">
        <v>21</v>
      </c>
      <c r="C19" s="10">
        <v>21.0</v>
      </c>
      <c r="D19" s="10">
        <v>40.0</v>
      </c>
      <c r="E19" s="16">
        <f>15+15</f>
        <v>30</v>
      </c>
      <c r="F19" s="16"/>
      <c r="G19" s="1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4" t="s">
        <v>22</v>
      </c>
      <c r="C20" s="10">
        <v>7.0</v>
      </c>
      <c r="D20" s="10">
        <v>18.0</v>
      </c>
      <c r="E20" s="15">
        <v>12.0</v>
      </c>
      <c r="F20" s="16"/>
      <c r="G20" s="1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4" t="s">
        <v>23</v>
      </c>
      <c r="C21" s="10">
        <v>21.0</v>
      </c>
      <c r="D21" s="10">
        <v>43.0</v>
      </c>
      <c r="E21" s="16">
        <f>19+10</f>
        <v>29</v>
      </c>
      <c r="F21" s="16"/>
      <c r="G21" s="1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4" t="s">
        <v>24</v>
      </c>
      <c r="C22" s="10">
        <v>13.0</v>
      </c>
      <c r="D22" s="10">
        <v>38.0</v>
      </c>
      <c r="E22" s="15">
        <v>15.0</v>
      </c>
      <c r="F22" s="16"/>
      <c r="G22" s="1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4" t="s">
        <v>25</v>
      </c>
      <c r="C23" s="10">
        <v>9.0</v>
      </c>
      <c r="D23" s="10">
        <v>21.0</v>
      </c>
      <c r="E23" s="15">
        <v>6.0</v>
      </c>
      <c r="F23" s="16"/>
      <c r="G23" s="1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4" t="s">
        <v>26</v>
      </c>
      <c r="C24" s="10">
        <v>19.0</v>
      </c>
      <c r="D24" s="10">
        <v>49.0</v>
      </c>
      <c r="E24" s="16">
        <f>6+4+8</f>
        <v>18</v>
      </c>
      <c r="F24" s="16"/>
      <c r="G24" s="1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4" t="s">
        <v>27</v>
      </c>
      <c r="C25" s="10">
        <v>14.0</v>
      </c>
      <c r="D25" s="10">
        <v>38.0</v>
      </c>
      <c r="E25" s="15">
        <v>8.0</v>
      </c>
      <c r="F25" s="16"/>
      <c r="G25" s="1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4" t="s">
        <v>28</v>
      </c>
      <c r="C26" s="10">
        <v>8.0</v>
      </c>
      <c r="D26" s="10">
        <v>25.0</v>
      </c>
      <c r="E26" s="15">
        <v>4.0</v>
      </c>
      <c r="F26" s="16"/>
      <c r="G26" s="1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4" t="s">
        <v>29</v>
      </c>
      <c r="C27" s="10">
        <v>16.0</v>
      </c>
      <c r="D27" s="10">
        <v>52.0</v>
      </c>
      <c r="E27" s="15">
        <f>15+14</f>
        <v>29</v>
      </c>
      <c r="F27" s="16"/>
      <c r="G27" s="1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4" t="s">
        <v>30</v>
      </c>
      <c r="C28" s="10">
        <v>15.0</v>
      </c>
      <c r="D28" s="10">
        <v>46.0</v>
      </c>
      <c r="E28" s="15">
        <v>10.0</v>
      </c>
      <c r="F28" s="16"/>
      <c r="G28" s="1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4" t="s">
        <v>31</v>
      </c>
      <c r="C29" s="10">
        <v>5.0</v>
      </c>
      <c r="D29" s="10">
        <v>16.0</v>
      </c>
      <c r="E29" s="15">
        <v>5.0</v>
      </c>
      <c r="F29" s="16"/>
      <c r="G29" s="1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8" t="s">
        <v>32</v>
      </c>
      <c r="C30" s="19">
        <v>9.0</v>
      </c>
      <c r="D30" s="10">
        <v>31.0</v>
      </c>
      <c r="E30" s="20">
        <v>10.0</v>
      </c>
      <c r="F30" s="19"/>
      <c r="G30" s="1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2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21"/>
      <c r="C32" s="22" t="s">
        <v>33</v>
      </c>
      <c r="D32" s="23" t="s">
        <v>34</v>
      </c>
      <c r="E32" s="24" t="s">
        <v>35</v>
      </c>
      <c r="F32" s="23" t="s">
        <v>36</v>
      </c>
      <c r="G32" s="25" t="s">
        <v>37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21" t="s">
        <v>38</v>
      </c>
      <c r="C33" s="1">
        <f t="shared" ref="C33:G33" si="1">SUM(C3:C30)</f>
        <v>350</v>
      </c>
      <c r="D33" s="1">
        <f t="shared" si="1"/>
        <v>705</v>
      </c>
      <c r="E33" s="1">
        <f t="shared" si="1"/>
        <v>261</v>
      </c>
      <c r="F33" s="1">
        <f t="shared" si="1"/>
        <v>0</v>
      </c>
      <c r="G33" s="1">
        <f t="shared" si="1"/>
        <v>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0" footer="0.0" header="0.0" left="0.0" right="0.0" top="0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53.86"/>
    <col customWidth="1" min="3" max="4" width="17.0"/>
    <col customWidth="1" min="5" max="5" width="31.71"/>
    <col customWidth="1" min="6" max="6" width="25.57"/>
    <col customWidth="1" min="7" max="7" width="14.43"/>
    <col customWidth="1" min="8" max="8" width="17.0"/>
    <col customWidth="1" min="9" max="27" width="14.43"/>
  </cols>
  <sheetData>
    <row r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ht="20.25" customHeight="1">
      <c r="A2" s="26"/>
      <c r="B2" s="27" t="s">
        <v>39</v>
      </c>
      <c r="C2" s="28"/>
      <c r="D2" s="28"/>
      <c r="E2" s="28"/>
      <c r="F2" s="29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ht="18.0" customHeight="1">
      <c r="A3" s="26"/>
      <c r="B3" s="30" t="s">
        <v>40</v>
      </c>
      <c r="C3" s="30" t="s">
        <v>41</v>
      </c>
      <c r="D3" s="30" t="s">
        <v>42</v>
      </c>
      <c r="E3" s="30" t="s">
        <v>43</v>
      </c>
      <c r="F3" s="30" t="s">
        <v>44</v>
      </c>
      <c r="G3" s="26"/>
      <c r="H3" s="31" t="s">
        <v>45</v>
      </c>
      <c r="I3" s="32"/>
      <c r="J3" s="32">
        <v>88.0</v>
      </c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ht="15.0" customHeight="1">
      <c r="A4" s="26"/>
      <c r="B4" s="33" t="s">
        <v>46</v>
      </c>
      <c r="C4" s="34" t="s">
        <v>47</v>
      </c>
      <c r="D4" s="34" t="s">
        <v>48</v>
      </c>
      <c r="E4" s="35">
        <v>3.0</v>
      </c>
      <c r="F4" s="35">
        <v>3.0</v>
      </c>
      <c r="G4" s="26"/>
      <c r="H4" s="31" t="s">
        <v>49</v>
      </c>
      <c r="I4" s="32"/>
      <c r="J4" s="36">
        <f>E9+E35+E49+E62+IT1H11+E89+E103+E130</f>
        <v>84.417</v>
      </c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ht="15.0" customHeight="1">
      <c r="A5" s="26"/>
      <c r="B5" s="33" t="s">
        <v>50</v>
      </c>
      <c r="C5" s="34" t="s">
        <v>51</v>
      </c>
      <c r="D5" s="34" t="s">
        <v>52</v>
      </c>
      <c r="E5" s="35">
        <v>0.25</v>
      </c>
      <c r="F5" s="35">
        <v>1.0</v>
      </c>
      <c r="G5" s="26"/>
      <c r="H5" s="31" t="s">
        <v>53</v>
      </c>
      <c r="I5" s="32"/>
      <c r="J5" s="32">
        <f>F9+F35+F49+F62+F79+F89+F103+F130</f>
        <v>100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ht="15.0" customHeight="1">
      <c r="A6" s="26"/>
      <c r="B6" s="33" t="s">
        <v>54</v>
      </c>
      <c r="C6" s="34" t="s">
        <v>51</v>
      </c>
      <c r="D6" s="34" t="s">
        <v>52</v>
      </c>
      <c r="E6" s="35">
        <v>3.0</v>
      </c>
      <c r="F6" s="35">
        <v>1.0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26"/>
      <c r="B7" s="33" t="s">
        <v>55</v>
      </c>
      <c r="C7" s="34" t="s">
        <v>56</v>
      </c>
      <c r="D7" s="34" t="s">
        <v>57</v>
      </c>
      <c r="E7" s="35">
        <v>6.0</v>
      </c>
      <c r="F7" s="35">
        <v>3.0</v>
      </c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ht="15.0" customHeight="1">
      <c r="A8" s="26"/>
      <c r="B8" s="33" t="s">
        <v>58</v>
      </c>
      <c r="C8" s="34"/>
      <c r="D8" s="34"/>
      <c r="E8" s="35">
        <v>8.0</v>
      </c>
      <c r="F8" s="35">
        <v>4.0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ht="15.75" customHeight="1">
      <c r="A9" s="37"/>
      <c r="B9" s="38" t="s">
        <v>38</v>
      </c>
      <c r="C9" s="38"/>
      <c r="D9" s="38"/>
      <c r="E9" s="39">
        <f t="shared" ref="E9:F9" si="1">SUM(E4:E8)</f>
        <v>20.25</v>
      </c>
      <c r="F9" s="40">
        <f t="shared" si="1"/>
        <v>12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ht="15.7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ht="16.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ht="16.5" customHeight="1">
      <c r="A12" s="26"/>
      <c r="B12" s="27" t="s">
        <v>59</v>
      </c>
      <c r="C12" s="28"/>
      <c r="D12" s="28"/>
      <c r="E12" s="28"/>
      <c r="F12" s="29"/>
      <c r="G12" s="26"/>
      <c r="H12" s="26" t="s">
        <v>60</v>
      </c>
      <c r="I12" s="41">
        <v>13.0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ht="16.5" customHeight="1">
      <c r="A13" s="26"/>
      <c r="B13" s="30" t="s">
        <v>40</v>
      </c>
      <c r="C13" s="30" t="s">
        <v>41</v>
      </c>
      <c r="D13" s="30" t="s">
        <v>42</v>
      </c>
      <c r="E13" s="30" t="s">
        <v>43</v>
      </c>
      <c r="F13" s="30" t="s">
        <v>44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>
      <c r="A14" s="26"/>
      <c r="B14" s="33" t="s">
        <v>61</v>
      </c>
      <c r="C14" s="34"/>
      <c r="D14" s="34"/>
      <c r="E14" s="35">
        <v>0.5</v>
      </c>
      <c r="F14" s="35">
        <v>0.5</v>
      </c>
      <c r="G14" s="26"/>
      <c r="H14" s="26"/>
      <c r="I14" s="26"/>
      <c r="J14" s="42"/>
      <c r="K14" s="42"/>
      <c r="L14" s="42"/>
      <c r="M14" s="42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ht="16.5" customHeight="1">
      <c r="A15" s="26"/>
      <c r="B15" s="33" t="s">
        <v>62</v>
      </c>
      <c r="C15" s="34" t="s">
        <v>63</v>
      </c>
      <c r="D15" s="34" t="s">
        <v>64</v>
      </c>
      <c r="E15" s="35">
        <v>2.0</v>
      </c>
      <c r="F15" s="35">
        <v>1.5</v>
      </c>
      <c r="G15" s="26"/>
      <c r="H15" s="26"/>
      <c r="I15" s="26"/>
      <c r="J15" s="43" t="s">
        <v>38</v>
      </c>
      <c r="K15" s="44"/>
      <c r="L15" s="45" t="s">
        <v>5</v>
      </c>
      <c r="M15" s="44"/>
      <c r="N15" s="45" t="s">
        <v>8</v>
      </c>
      <c r="O15" s="44"/>
      <c r="P15" s="45" t="s">
        <v>9</v>
      </c>
      <c r="Q15" s="44"/>
      <c r="R15" s="45" t="s">
        <v>10</v>
      </c>
      <c r="S15" s="44"/>
      <c r="T15" s="45" t="s">
        <v>11</v>
      </c>
      <c r="U15" s="44"/>
      <c r="V15" s="45" t="s">
        <v>13</v>
      </c>
      <c r="W15" s="44"/>
      <c r="X15" s="45" t="s">
        <v>14</v>
      </c>
      <c r="Y15" s="44"/>
      <c r="Z15" s="45" t="s">
        <v>65</v>
      </c>
      <c r="AA15" s="44"/>
    </row>
    <row r="16" ht="15.75" customHeight="1">
      <c r="A16" s="26"/>
      <c r="B16" s="33" t="s">
        <v>66</v>
      </c>
      <c r="C16" s="34"/>
      <c r="D16" s="34"/>
      <c r="E16" s="35">
        <v>1.25</v>
      </c>
      <c r="F16" s="35">
        <v>1.0</v>
      </c>
      <c r="G16" s="26"/>
      <c r="H16" s="46" t="s">
        <v>67</v>
      </c>
      <c r="I16" s="44"/>
      <c r="J16" s="47" t="s">
        <v>68</v>
      </c>
      <c r="K16" s="48" t="s">
        <v>69</v>
      </c>
      <c r="L16" s="47" t="s">
        <v>68</v>
      </c>
      <c r="M16" s="48" t="s">
        <v>69</v>
      </c>
      <c r="N16" s="47" t="s">
        <v>68</v>
      </c>
      <c r="O16" s="48" t="s">
        <v>69</v>
      </c>
      <c r="P16" s="47" t="s">
        <v>68</v>
      </c>
      <c r="Q16" s="48" t="s">
        <v>69</v>
      </c>
      <c r="R16" s="47" t="s">
        <v>68</v>
      </c>
      <c r="S16" s="48" t="s">
        <v>69</v>
      </c>
      <c r="T16" s="47" t="s">
        <v>68</v>
      </c>
      <c r="U16" s="48" t="s">
        <v>69</v>
      </c>
      <c r="V16" s="47" t="s">
        <v>68</v>
      </c>
      <c r="W16" s="48" t="s">
        <v>69</v>
      </c>
      <c r="X16" s="47" t="s">
        <v>68</v>
      </c>
      <c r="Y16" s="48" t="s">
        <v>69</v>
      </c>
      <c r="Z16" s="47" t="s">
        <v>68</v>
      </c>
      <c r="AA16" s="48" t="s">
        <v>69</v>
      </c>
    </row>
    <row r="17" ht="15.75" customHeight="1">
      <c r="A17" s="26"/>
      <c r="B17" s="33" t="s">
        <v>70</v>
      </c>
      <c r="C17" s="34" t="s">
        <v>64</v>
      </c>
      <c r="D17" s="34" t="s">
        <v>63</v>
      </c>
      <c r="E17" s="35">
        <v>1.5</v>
      </c>
      <c r="F17" s="35">
        <v>1.0</v>
      </c>
      <c r="G17" s="26"/>
      <c r="H17" s="49">
        <v>46077.0</v>
      </c>
      <c r="I17" s="50">
        <v>0.0</v>
      </c>
      <c r="J17" s="26">
        <f t="shared" ref="J17:K17" si="2">L17+N17+P17+R17+T17+V17+X17+Z17</f>
        <v>100</v>
      </c>
      <c r="K17" s="51">
        <f t="shared" si="2"/>
        <v>110.417</v>
      </c>
      <c r="L17" s="52">
        <f>F9</f>
        <v>12</v>
      </c>
      <c r="M17" s="53">
        <f>E9</f>
        <v>20.25</v>
      </c>
      <c r="N17" s="52">
        <f>F35</f>
        <v>16</v>
      </c>
      <c r="O17" s="52">
        <f>E35</f>
        <v>21</v>
      </c>
      <c r="P17" s="52">
        <f>F49</f>
        <v>15</v>
      </c>
      <c r="Q17" s="52">
        <f>E49</f>
        <v>7</v>
      </c>
      <c r="R17" s="52">
        <f>F62</f>
        <v>7</v>
      </c>
      <c r="S17" s="52">
        <f>E62</f>
        <v>2.75</v>
      </c>
      <c r="T17" s="52">
        <f>F79</f>
        <v>8</v>
      </c>
      <c r="U17" s="52">
        <f>IT1H11</f>
        <v>2</v>
      </c>
      <c r="V17" s="52">
        <f t="shared" ref="V17:W17" si="3">$F$89</f>
        <v>26</v>
      </c>
      <c r="W17" s="52">
        <f t="shared" si="3"/>
        <v>26</v>
      </c>
      <c r="X17" s="52">
        <f>F103</f>
        <v>11</v>
      </c>
      <c r="Y17" s="52">
        <f>E103</f>
        <v>11.167</v>
      </c>
      <c r="Z17" s="52">
        <f>F130</f>
        <v>5</v>
      </c>
      <c r="AA17" s="52">
        <f>E130</f>
        <v>20.25</v>
      </c>
    </row>
    <row r="18" ht="15.75" customHeight="1">
      <c r="A18" s="26"/>
      <c r="B18" s="33" t="s">
        <v>71</v>
      </c>
      <c r="C18" s="34" t="s">
        <v>48</v>
      </c>
      <c r="D18" s="34" t="s">
        <v>47</v>
      </c>
      <c r="E18" s="35">
        <v>1.0</v>
      </c>
      <c r="F18" s="35">
        <v>0.75</v>
      </c>
      <c r="G18" s="54"/>
      <c r="H18" s="49">
        <v>46078.0</v>
      </c>
      <c r="I18" s="50">
        <v>1.0</v>
      </c>
      <c r="J18" s="55">
        <f t="shared" ref="J18:K18" si="4">L18+N18+P18+R18+T18+V18+X18+Z18</f>
        <v>92.30769231</v>
      </c>
      <c r="K18" s="26">
        <f t="shared" si="4"/>
        <v>105.667</v>
      </c>
      <c r="L18" s="52">
        <f t="shared" ref="L18:L29" si="6">$L$17*(1-1/$I$12*I18)</f>
        <v>11.07692308</v>
      </c>
      <c r="M18" s="52">
        <v>17.25</v>
      </c>
      <c r="N18" s="52">
        <f t="shared" ref="N18:N29" si="7">$N$17*(1-1/$I$12*I18)</f>
        <v>14.76923077</v>
      </c>
      <c r="O18" s="52">
        <v>20.0</v>
      </c>
      <c r="P18" s="52">
        <f t="shared" ref="P18:P29" si="8">$P$17*(1-1/$I$12*I18)</f>
        <v>13.84615385</v>
      </c>
      <c r="Q18" s="52">
        <v>7.0</v>
      </c>
      <c r="R18" s="52">
        <f t="shared" ref="R18:R29" si="9">$R$17*(1-1/$I$12*I18)</f>
        <v>6.461538462</v>
      </c>
      <c r="S18" s="52">
        <v>2.75</v>
      </c>
      <c r="T18" s="52">
        <f t="shared" ref="T18:T29" si="10">$T$17*(1-1/$I$12*I18)</f>
        <v>7.384615385</v>
      </c>
      <c r="U18" s="52">
        <v>2.0</v>
      </c>
      <c r="V18" s="56">
        <f t="shared" ref="V18:V30" si="11">V17-((1/$I$12)*$V$17)</f>
        <v>24</v>
      </c>
      <c r="W18" s="52">
        <f t="shared" ref="W18:W30" si="12">$F$89</f>
        <v>26</v>
      </c>
      <c r="X18" s="52">
        <f t="shared" ref="X18:X29" si="13">$X$17*(1-1/$I$12*I18)</f>
        <v>10.15384615</v>
      </c>
      <c r="Y18" s="52">
        <v>11.167</v>
      </c>
      <c r="Z18" s="52">
        <f t="shared" ref="Z18:Z29" si="14">$Z$17*(1-1/$I$12*I18)</f>
        <v>4.615384615</v>
      </c>
      <c r="AA18" s="52">
        <v>19.5</v>
      </c>
    </row>
    <row r="19" ht="15.75" customHeight="1">
      <c r="A19" s="26"/>
      <c r="B19" s="33" t="s">
        <v>72</v>
      </c>
      <c r="C19" s="34" t="s">
        <v>48</v>
      </c>
      <c r="D19" s="34" t="s">
        <v>47</v>
      </c>
      <c r="E19" s="35">
        <v>1.25</v>
      </c>
      <c r="F19" s="35">
        <v>1.0</v>
      </c>
      <c r="G19" s="54"/>
      <c r="H19" s="49">
        <v>46079.0</v>
      </c>
      <c r="I19" s="50">
        <v>2.0</v>
      </c>
      <c r="J19" s="55">
        <f t="shared" ref="J19:K19" si="5">L19+N19+P19+R19+T19+V19+X19+Z19</f>
        <v>84.61538462</v>
      </c>
      <c r="K19" s="26">
        <f t="shared" si="5"/>
        <v>99.417</v>
      </c>
      <c r="L19" s="52">
        <f t="shared" si="6"/>
        <v>10.15384615</v>
      </c>
      <c r="M19" s="52">
        <v>13.5</v>
      </c>
      <c r="N19" s="52">
        <f t="shared" si="7"/>
        <v>13.53846154</v>
      </c>
      <c r="O19" s="52">
        <v>18.5</v>
      </c>
      <c r="P19" s="52">
        <f t="shared" si="8"/>
        <v>12.69230769</v>
      </c>
      <c r="Q19" s="52">
        <v>7.0</v>
      </c>
      <c r="R19" s="52">
        <f t="shared" si="9"/>
        <v>5.923076923</v>
      </c>
      <c r="S19" s="52">
        <v>2.75</v>
      </c>
      <c r="T19" s="52">
        <f t="shared" si="10"/>
        <v>6.769230769</v>
      </c>
      <c r="U19" s="52">
        <v>2.0</v>
      </c>
      <c r="V19" s="56">
        <f t="shared" si="11"/>
        <v>22</v>
      </c>
      <c r="W19" s="52">
        <f t="shared" si="12"/>
        <v>26</v>
      </c>
      <c r="X19" s="52">
        <f t="shared" si="13"/>
        <v>9.307692308</v>
      </c>
      <c r="Y19" s="52">
        <v>11.167</v>
      </c>
      <c r="Z19" s="52">
        <f t="shared" si="14"/>
        <v>4.230769231</v>
      </c>
      <c r="AA19" s="52">
        <v>18.5</v>
      </c>
    </row>
    <row r="20" ht="15.75" customHeight="1">
      <c r="A20" s="26"/>
      <c r="B20" s="33" t="s">
        <v>73</v>
      </c>
      <c r="C20" s="34" t="s">
        <v>48</v>
      </c>
      <c r="D20" s="34" t="s">
        <v>47</v>
      </c>
      <c r="E20" s="35">
        <v>2.0</v>
      </c>
      <c r="F20" s="35">
        <v>1.5</v>
      </c>
      <c r="G20" s="54"/>
      <c r="H20" s="49">
        <v>46080.0</v>
      </c>
      <c r="I20" s="50">
        <v>3.0</v>
      </c>
      <c r="J20" s="55">
        <f t="shared" ref="J20:K20" si="15">L20+N20+P20+R20+T20+V20+X20+Z20</f>
        <v>76.92307692</v>
      </c>
      <c r="K20" s="26">
        <f t="shared" si="15"/>
        <v>90.417</v>
      </c>
      <c r="L20" s="52">
        <f t="shared" si="6"/>
        <v>9.230769231</v>
      </c>
      <c r="M20" s="52">
        <v>7.0</v>
      </c>
      <c r="N20" s="52">
        <f t="shared" si="7"/>
        <v>12.30769231</v>
      </c>
      <c r="O20" s="52">
        <v>17.0</v>
      </c>
      <c r="P20" s="52">
        <f t="shared" si="8"/>
        <v>11.53846154</v>
      </c>
      <c r="Q20" s="52">
        <v>7.0</v>
      </c>
      <c r="R20" s="52">
        <f t="shared" si="9"/>
        <v>5.384615385</v>
      </c>
      <c r="S20" s="52">
        <v>2.75</v>
      </c>
      <c r="T20" s="52">
        <f t="shared" si="10"/>
        <v>6.153846154</v>
      </c>
      <c r="U20" s="52">
        <v>2.0</v>
      </c>
      <c r="V20" s="56">
        <f t="shared" si="11"/>
        <v>20</v>
      </c>
      <c r="W20" s="52">
        <f t="shared" si="12"/>
        <v>26</v>
      </c>
      <c r="X20" s="52">
        <f t="shared" si="13"/>
        <v>8.461538462</v>
      </c>
      <c r="Y20" s="52">
        <v>11.167</v>
      </c>
      <c r="Z20" s="52">
        <f t="shared" si="14"/>
        <v>3.846153846</v>
      </c>
      <c r="AA20" s="52">
        <v>17.5</v>
      </c>
    </row>
    <row r="21" ht="15.75" customHeight="1">
      <c r="A21" s="26"/>
      <c r="B21" s="33" t="s">
        <v>74</v>
      </c>
      <c r="C21" s="34" t="s">
        <v>75</v>
      </c>
      <c r="D21" s="34" t="s">
        <v>75</v>
      </c>
      <c r="E21" s="35" t="s">
        <v>75</v>
      </c>
      <c r="F21" s="35"/>
      <c r="G21" s="54"/>
      <c r="H21" s="49">
        <v>46081.0</v>
      </c>
      <c r="I21" s="50">
        <v>4.0</v>
      </c>
      <c r="J21" s="55">
        <f t="shared" ref="J21:K21" si="16">L21+N21+P21+R21+T21+V21+X21+Z21</f>
        <v>69.23076923</v>
      </c>
      <c r="K21" s="26">
        <f t="shared" si="16"/>
        <v>80.167</v>
      </c>
      <c r="L21" s="52">
        <f t="shared" si="6"/>
        <v>8.307692308</v>
      </c>
      <c r="M21" s="52">
        <v>0.0</v>
      </c>
      <c r="N21" s="52">
        <f t="shared" si="7"/>
        <v>11.07692308</v>
      </c>
      <c r="O21" s="52">
        <v>15.0</v>
      </c>
      <c r="P21" s="52">
        <f t="shared" si="8"/>
        <v>10.38461538</v>
      </c>
      <c r="Q21" s="52">
        <v>7.0</v>
      </c>
      <c r="R21" s="52">
        <f t="shared" si="9"/>
        <v>4.846153846</v>
      </c>
      <c r="S21" s="52">
        <v>2.75</v>
      </c>
      <c r="T21" s="52">
        <f t="shared" si="10"/>
        <v>5.538461538</v>
      </c>
      <c r="U21" s="52">
        <v>2.0</v>
      </c>
      <c r="V21" s="56">
        <f t="shared" si="11"/>
        <v>18</v>
      </c>
      <c r="W21" s="52">
        <f t="shared" si="12"/>
        <v>26</v>
      </c>
      <c r="X21" s="52">
        <f t="shared" si="13"/>
        <v>7.615384615</v>
      </c>
      <c r="Y21" s="52">
        <v>11.167</v>
      </c>
      <c r="Z21" s="52">
        <f t="shared" si="14"/>
        <v>3.461538462</v>
      </c>
      <c r="AA21" s="52">
        <v>16.25</v>
      </c>
    </row>
    <row r="22" ht="15.75" customHeight="1">
      <c r="A22" s="26"/>
      <c r="B22" s="33" t="s">
        <v>76</v>
      </c>
      <c r="C22" s="34"/>
      <c r="D22" s="34"/>
      <c r="E22" s="35">
        <v>1.25</v>
      </c>
      <c r="F22" s="35">
        <v>1.0</v>
      </c>
      <c r="G22" s="54"/>
      <c r="H22" s="49">
        <v>46082.0</v>
      </c>
      <c r="I22" s="50">
        <v>5.0</v>
      </c>
      <c r="J22" s="55">
        <f t="shared" ref="J22:K22" si="17">L22+N22+P22+R22+T22+V22+X22+Z22</f>
        <v>61.53846154</v>
      </c>
      <c r="K22" s="26">
        <f t="shared" si="17"/>
        <v>75.917</v>
      </c>
      <c r="L22" s="52">
        <f t="shared" si="6"/>
        <v>7.384615385</v>
      </c>
      <c r="M22" s="52">
        <v>0.0</v>
      </c>
      <c r="N22" s="52">
        <f t="shared" si="7"/>
        <v>9.846153846</v>
      </c>
      <c r="O22" s="52">
        <v>13.0</v>
      </c>
      <c r="P22" s="52">
        <f t="shared" si="8"/>
        <v>9.230769231</v>
      </c>
      <c r="Q22" s="52">
        <v>6.25</v>
      </c>
      <c r="R22" s="52">
        <f t="shared" si="9"/>
        <v>4.307692308</v>
      </c>
      <c r="S22" s="52">
        <v>2.75</v>
      </c>
      <c r="T22" s="52">
        <f t="shared" si="10"/>
        <v>4.923076923</v>
      </c>
      <c r="U22" s="52">
        <v>2.0</v>
      </c>
      <c r="V22" s="56">
        <f t="shared" si="11"/>
        <v>16</v>
      </c>
      <c r="W22" s="52">
        <f t="shared" si="12"/>
        <v>26</v>
      </c>
      <c r="X22" s="52">
        <f t="shared" si="13"/>
        <v>6.769230769</v>
      </c>
      <c r="Y22" s="52">
        <v>11.167</v>
      </c>
      <c r="Z22" s="52">
        <f t="shared" si="14"/>
        <v>3.076923077</v>
      </c>
      <c r="AA22" s="52">
        <v>14.75</v>
      </c>
    </row>
    <row r="23" ht="15.75" customHeight="1">
      <c r="A23" s="26"/>
      <c r="B23" s="33" t="s">
        <v>77</v>
      </c>
      <c r="C23" s="34"/>
      <c r="D23" s="34"/>
      <c r="E23" s="35">
        <v>1.0</v>
      </c>
      <c r="F23" s="35">
        <v>0.75</v>
      </c>
      <c r="G23" s="54"/>
      <c r="H23" s="49">
        <v>46083.0</v>
      </c>
      <c r="I23" s="50">
        <v>6.0</v>
      </c>
      <c r="J23" s="55">
        <f t="shared" ref="J23:K23" si="18">L23+N23+P23+R23+T23+V23+X23+Z23</f>
        <v>53.84615385</v>
      </c>
      <c r="K23" s="26">
        <f t="shared" si="18"/>
        <v>70.417</v>
      </c>
      <c r="L23" s="52">
        <f t="shared" si="6"/>
        <v>6.461538462</v>
      </c>
      <c r="M23" s="52">
        <v>0.0</v>
      </c>
      <c r="N23" s="52">
        <f t="shared" si="7"/>
        <v>8.615384615</v>
      </c>
      <c r="O23" s="52">
        <v>11.0</v>
      </c>
      <c r="P23" s="52">
        <f t="shared" si="8"/>
        <v>8.076923077</v>
      </c>
      <c r="Q23" s="52">
        <v>5.0</v>
      </c>
      <c r="R23" s="52">
        <f t="shared" si="9"/>
        <v>3.769230769</v>
      </c>
      <c r="S23" s="52">
        <v>2.75</v>
      </c>
      <c r="T23" s="52">
        <f t="shared" si="10"/>
        <v>4.307692308</v>
      </c>
      <c r="U23" s="52">
        <v>2.0</v>
      </c>
      <c r="V23" s="56">
        <f t="shared" si="11"/>
        <v>14</v>
      </c>
      <c r="W23" s="52">
        <f t="shared" si="12"/>
        <v>26</v>
      </c>
      <c r="X23" s="52">
        <f t="shared" si="13"/>
        <v>5.923076923</v>
      </c>
      <c r="Y23" s="52">
        <v>10.417</v>
      </c>
      <c r="Z23" s="52">
        <f t="shared" si="14"/>
        <v>2.692307692</v>
      </c>
      <c r="AA23" s="52">
        <v>13.25</v>
      </c>
    </row>
    <row r="24" ht="15.75" customHeight="1">
      <c r="A24" s="26"/>
      <c r="B24" s="33" t="s">
        <v>78</v>
      </c>
      <c r="C24" s="34" t="s">
        <v>52</v>
      </c>
      <c r="D24" s="34" t="s">
        <v>63</v>
      </c>
      <c r="E24" s="35">
        <v>1.0</v>
      </c>
      <c r="F24" s="35">
        <v>0.75</v>
      </c>
      <c r="G24" s="54"/>
      <c r="H24" s="49">
        <v>46084.0</v>
      </c>
      <c r="I24" s="50">
        <v>7.0</v>
      </c>
      <c r="J24" s="57">
        <f t="shared" ref="J24:K24" si="19">L24+N24+P24+R24+T24+V24+X24+Z24</f>
        <v>46.15384615</v>
      </c>
      <c r="K24" s="26">
        <f t="shared" si="19"/>
        <v>64.417</v>
      </c>
      <c r="L24" s="52">
        <f t="shared" si="6"/>
        <v>5.538461538</v>
      </c>
      <c r="M24" s="52">
        <v>0.0</v>
      </c>
      <c r="N24" s="52">
        <f t="shared" si="7"/>
        <v>7.384615385</v>
      </c>
      <c r="O24" s="52">
        <v>9.0</v>
      </c>
      <c r="P24" s="52">
        <f t="shared" si="8"/>
        <v>6.923076923</v>
      </c>
      <c r="Q24" s="52">
        <v>3.75</v>
      </c>
      <c r="R24" s="52">
        <f t="shared" si="9"/>
        <v>3.230769231</v>
      </c>
      <c r="S24" s="52">
        <v>2.5</v>
      </c>
      <c r="T24" s="52">
        <f t="shared" si="10"/>
        <v>3.692307692</v>
      </c>
      <c r="U24" s="52">
        <v>2.0</v>
      </c>
      <c r="V24" s="58">
        <f t="shared" si="11"/>
        <v>12</v>
      </c>
      <c r="W24" s="52">
        <f t="shared" si="12"/>
        <v>26</v>
      </c>
      <c r="X24" s="52">
        <f t="shared" si="13"/>
        <v>5.076923077</v>
      </c>
      <c r="Y24" s="52">
        <v>9.417</v>
      </c>
      <c r="Z24" s="52">
        <f t="shared" si="14"/>
        <v>2.307692308</v>
      </c>
      <c r="AA24" s="52">
        <v>11.75</v>
      </c>
    </row>
    <row r="25" ht="15.75" customHeight="1">
      <c r="A25" s="26"/>
      <c r="B25" s="33" t="s">
        <v>79</v>
      </c>
      <c r="C25" s="34" t="s">
        <v>51</v>
      </c>
      <c r="D25" s="34" t="s">
        <v>48</v>
      </c>
      <c r="E25" s="35">
        <v>0.5</v>
      </c>
      <c r="F25" s="35">
        <v>0.5</v>
      </c>
      <c r="G25" s="54"/>
      <c r="H25" s="49">
        <v>46085.0</v>
      </c>
      <c r="I25" s="50">
        <v>8.0</v>
      </c>
      <c r="J25" s="55">
        <f t="shared" ref="J25:K25" si="20">L25+N25+P25+R25+T25+V25+X25+Z25</f>
        <v>38.46153846</v>
      </c>
      <c r="K25" s="26">
        <f t="shared" si="20"/>
        <v>57.667</v>
      </c>
      <c r="L25" s="52">
        <f t="shared" si="6"/>
        <v>4.615384615</v>
      </c>
      <c r="M25" s="52">
        <v>0.0</v>
      </c>
      <c r="N25" s="52">
        <f t="shared" si="7"/>
        <v>6.153846154</v>
      </c>
      <c r="O25" s="52">
        <v>7.0</v>
      </c>
      <c r="P25" s="52">
        <f t="shared" si="8"/>
        <v>5.769230769</v>
      </c>
      <c r="Q25" s="52">
        <v>2.75</v>
      </c>
      <c r="R25" s="52">
        <f t="shared" si="9"/>
        <v>2.692307692</v>
      </c>
      <c r="S25" s="52">
        <v>2.0</v>
      </c>
      <c r="T25" s="52">
        <f t="shared" si="10"/>
        <v>3.076923077</v>
      </c>
      <c r="U25" s="52">
        <v>1.75</v>
      </c>
      <c r="V25" s="56">
        <f t="shared" si="11"/>
        <v>10</v>
      </c>
      <c r="W25" s="52">
        <f t="shared" si="12"/>
        <v>26</v>
      </c>
      <c r="X25" s="52">
        <f t="shared" si="13"/>
        <v>4.230769231</v>
      </c>
      <c r="Y25" s="52">
        <v>8.167</v>
      </c>
      <c r="Z25" s="52">
        <f t="shared" si="14"/>
        <v>1.923076923</v>
      </c>
      <c r="AA25" s="52">
        <v>10.0</v>
      </c>
    </row>
    <row r="26" ht="15.75" customHeight="1">
      <c r="A26" s="26"/>
      <c r="B26" s="33" t="s">
        <v>80</v>
      </c>
      <c r="C26" s="34"/>
      <c r="D26" s="34"/>
      <c r="E26" s="35">
        <v>0.5</v>
      </c>
      <c r="F26" s="35">
        <v>0.5</v>
      </c>
      <c r="G26" s="54"/>
      <c r="H26" s="49">
        <v>46086.0</v>
      </c>
      <c r="I26" s="50">
        <v>9.0</v>
      </c>
      <c r="J26" s="55">
        <f t="shared" ref="J26:K26" si="21">L26+N26+P26+R26+T26+V26+X26+Z26</f>
        <v>30.76923077</v>
      </c>
      <c r="K26" s="26">
        <f t="shared" si="21"/>
        <v>50.167</v>
      </c>
      <c r="L26" s="52">
        <f t="shared" si="6"/>
        <v>3.692307692</v>
      </c>
      <c r="M26" s="52">
        <v>0.0</v>
      </c>
      <c r="N26" s="52">
        <f t="shared" si="7"/>
        <v>4.923076923</v>
      </c>
      <c r="O26" s="52">
        <v>5.0</v>
      </c>
      <c r="P26" s="52">
        <f t="shared" si="8"/>
        <v>4.615384615</v>
      </c>
      <c r="Q26" s="52">
        <v>1.75</v>
      </c>
      <c r="R26" s="52">
        <f t="shared" si="9"/>
        <v>2.153846154</v>
      </c>
      <c r="S26" s="52">
        <v>1.25</v>
      </c>
      <c r="T26" s="52">
        <f t="shared" si="10"/>
        <v>2.461538462</v>
      </c>
      <c r="U26" s="52">
        <v>1.25</v>
      </c>
      <c r="V26" s="56">
        <f t="shared" si="11"/>
        <v>8</v>
      </c>
      <c r="W26" s="52">
        <f t="shared" si="12"/>
        <v>26</v>
      </c>
      <c r="X26" s="52">
        <f t="shared" si="13"/>
        <v>3.384615385</v>
      </c>
      <c r="Y26" s="52">
        <v>6.667</v>
      </c>
      <c r="Z26" s="52">
        <f t="shared" si="14"/>
        <v>1.538461538</v>
      </c>
      <c r="AA26" s="52">
        <v>8.25</v>
      </c>
    </row>
    <row r="27" ht="15.75" customHeight="1">
      <c r="A27" s="26"/>
      <c r="B27" s="33" t="s">
        <v>81</v>
      </c>
      <c r="C27" s="34"/>
      <c r="D27" s="34"/>
      <c r="E27" s="35">
        <v>0.5</v>
      </c>
      <c r="F27" s="35">
        <v>0.5</v>
      </c>
      <c r="G27" s="54"/>
      <c r="H27" s="49">
        <v>46087.0</v>
      </c>
      <c r="I27" s="50">
        <v>10.0</v>
      </c>
      <c r="J27" s="55">
        <f t="shared" ref="J27:K27" si="22">L27+N27+P27+R27+T27+V27+X27+Z27</f>
        <v>23.07692308</v>
      </c>
      <c r="K27" s="26">
        <f t="shared" si="22"/>
        <v>42.167</v>
      </c>
      <c r="L27" s="52">
        <f t="shared" si="6"/>
        <v>2.769230769</v>
      </c>
      <c r="M27" s="52">
        <v>0.0</v>
      </c>
      <c r="N27" s="52">
        <f t="shared" si="7"/>
        <v>3.692307692</v>
      </c>
      <c r="O27" s="52">
        <v>3.0</v>
      </c>
      <c r="P27" s="52">
        <f t="shared" si="8"/>
        <v>3.461538462</v>
      </c>
      <c r="Q27" s="52">
        <v>0.75</v>
      </c>
      <c r="R27" s="52">
        <f t="shared" si="9"/>
        <v>1.615384615</v>
      </c>
      <c r="S27" s="52">
        <v>0.5</v>
      </c>
      <c r="T27" s="52">
        <f t="shared" si="10"/>
        <v>1.846153846</v>
      </c>
      <c r="U27" s="52">
        <v>0.5</v>
      </c>
      <c r="V27" s="56">
        <f t="shared" si="11"/>
        <v>6</v>
      </c>
      <c r="W27" s="52">
        <f t="shared" si="12"/>
        <v>26</v>
      </c>
      <c r="X27" s="52">
        <f t="shared" si="13"/>
        <v>2.538461538</v>
      </c>
      <c r="Y27" s="52">
        <v>5.167</v>
      </c>
      <c r="Z27" s="52">
        <f t="shared" si="14"/>
        <v>1.153846154</v>
      </c>
      <c r="AA27" s="52">
        <v>6.25</v>
      </c>
    </row>
    <row r="28" ht="15.75" customHeight="1">
      <c r="A28" s="26"/>
      <c r="B28" s="33" t="s">
        <v>82</v>
      </c>
      <c r="C28" s="34"/>
      <c r="D28" s="34"/>
      <c r="E28" s="35">
        <v>1.5</v>
      </c>
      <c r="F28" s="35">
        <v>1.0</v>
      </c>
      <c r="G28" s="54"/>
      <c r="H28" s="49">
        <v>46088.0</v>
      </c>
      <c r="I28" s="50">
        <v>11.0</v>
      </c>
      <c r="J28" s="55">
        <f t="shared" ref="J28:K28" si="23">L28+N28+P28+R28+T28+V28+X28+Z28</f>
        <v>15.38461538</v>
      </c>
      <c r="K28" s="26">
        <f t="shared" si="23"/>
        <v>35.417</v>
      </c>
      <c r="L28" s="52">
        <f t="shared" si="6"/>
        <v>1.846153846</v>
      </c>
      <c r="M28" s="52">
        <v>0.0</v>
      </c>
      <c r="N28" s="52">
        <f t="shared" si="7"/>
        <v>2.461538462</v>
      </c>
      <c r="O28" s="52">
        <v>1.5</v>
      </c>
      <c r="P28" s="52">
        <f t="shared" si="8"/>
        <v>2.307692308</v>
      </c>
      <c r="Q28" s="52">
        <v>0.0</v>
      </c>
      <c r="R28" s="52">
        <f t="shared" si="9"/>
        <v>1.076923077</v>
      </c>
      <c r="S28" s="52">
        <v>0.0</v>
      </c>
      <c r="T28" s="52">
        <f t="shared" si="10"/>
        <v>1.230769231</v>
      </c>
      <c r="U28" s="52">
        <v>0.0</v>
      </c>
      <c r="V28" s="56">
        <f t="shared" si="11"/>
        <v>4</v>
      </c>
      <c r="W28" s="52">
        <f t="shared" si="12"/>
        <v>26</v>
      </c>
      <c r="X28" s="52">
        <f t="shared" si="13"/>
        <v>1.692307692</v>
      </c>
      <c r="Y28" s="52">
        <v>3.417</v>
      </c>
      <c r="Z28" s="52">
        <f t="shared" si="14"/>
        <v>0.7692307692</v>
      </c>
      <c r="AA28" s="52">
        <v>4.5</v>
      </c>
    </row>
    <row r="29" ht="15.75" customHeight="1">
      <c r="A29" s="26"/>
      <c r="B29" s="33" t="s">
        <v>83</v>
      </c>
      <c r="C29" s="34"/>
      <c r="D29" s="34"/>
      <c r="E29" s="35">
        <v>0.75</v>
      </c>
      <c r="F29" s="35">
        <v>0.5</v>
      </c>
      <c r="G29" s="26"/>
      <c r="H29" s="49">
        <v>46089.0</v>
      </c>
      <c r="I29" s="50">
        <v>12.0</v>
      </c>
      <c r="J29" s="55">
        <f t="shared" ref="J29:K29" si="24">L29+N29+P29+R29+T29+V29+X29+Z29</f>
        <v>7.692307692</v>
      </c>
      <c r="K29" s="26">
        <f t="shared" si="24"/>
        <v>30.417</v>
      </c>
      <c r="L29" s="52">
        <f t="shared" si="6"/>
        <v>0.9230769231</v>
      </c>
      <c r="M29" s="52">
        <v>0.0</v>
      </c>
      <c r="N29" s="52">
        <f t="shared" si="7"/>
        <v>1.230769231</v>
      </c>
      <c r="O29" s="52">
        <v>0.5</v>
      </c>
      <c r="P29" s="52">
        <f t="shared" si="8"/>
        <v>1.153846154</v>
      </c>
      <c r="Q29" s="52">
        <v>0.0</v>
      </c>
      <c r="R29" s="52">
        <f t="shared" si="9"/>
        <v>0.5384615385</v>
      </c>
      <c r="S29" s="52">
        <v>0.0</v>
      </c>
      <c r="T29" s="52">
        <f t="shared" si="10"/>
        <v>0.6153846154</v>
      </c>
      <c r="U29" s="52">
        <v>0.0</v>
      </c>
      <c r="V29" s="56">
        <f t="shared" si="11"/>
        <v>2</v>
      </c>
      <c r="W29" s="52">
        <f t="shared" si="12"/>
        <v>26</v>
      </c>
      <c r="X29" s="52">
        <f t="shared" si="13"/>
        <v>0.8461538462</v>
      </c>
      <c r="Y29" s="52">
        <v>1.417</v>
      </c>
      <c r="Z29" s="52">
        <f t="shared" si="14"/>
        <v>0.3846153846</v>
      </c>
      <c r="AA29" s="52">
        <v>2.5</v>
      </c>
    </row>
    <row r="30" ht="15.75" customHeight="1">
      <c r="A30" s="26"/>
      <c r="B30" s="33" t="s">
        <v>84</v>
      </c>
      <c r="C30" s="34" t="s">
        <v>63</v>
      </c>
      <c r="D30" s="34" t="s">
        <v>52</v>
      </c>
      <c r="E30" s="35" t="s">
        <v>75</v>
      </c>
      <c r="F30" s="35"/>
      <c r="G30" s="26"/>
      <c r="H30" s="49">
        <v>46090.0</v>
      </c>
      <c r="I30" s="50">
        <v>13.0</v>
      </c>
      <c r="J30" s="55">
        <f t="shared" ref="J30:K30" si="25">L30+N30+P30+R30+T30+V30+X30+Z30</f>
        <v>0</v>
      </c>
      <c r="K30" s="26">
        <f t="shared" si="25"/>
        <v>26</v>
      </c>
      <c r="L30" s="52">
        <v>0.0</v>
      </c>
      <c r="M30" s="52">
        <v>0.0</v>
      </c>
      <c r="N30" s="52">
        <v>0.0</v>
      </c>
      <c r="O30" s="52">
        <v>0.0</v>
      </c>
      <c r="P30" s="52">
        <v>0.0</v>
      </c>
      <c r="Q30" s="52">
        <v>0.0</v>
      </c>
      <c r="R30" s="52">
        <v>0.0</v>
      </c>
      <c r="S30" s="52">
        <v>0.0</v>
      </c>
      <c r="T30" s="52">
        <v>0.0</v>
      </c>
      <c r="U30" s="52">
        <v>0.0</v>
      </c>
      <c r="V30" s="56">
        <f t="shared" si="11"/>
        <v>0</v>
      </c>
      <c r="W30" s="52">
        <f t="shared" si="12"/>
        <v>26</v>
      </c>
      <c r="X30" s="52">
        <v>0.0</v>
      </c>
      <c r="Y30" s="52">
        <v>0.0</v>
      </c>
      <c r="Z30" s="52">
        <v>0.0</v>
      </c>
      <c r="AA30" s="52">
        <v>0.0</v>
      </c>
    </row>
    <row r="31" ht="15.75" customHeight="1">
      <c r="A31" s="26"/>
      <c r="B31" s="33" t="s">
        <v>85</v>
      </c>
      <c r="C31" s="34" t="s">
        <v>48</v>
      </c>
      <c r="D31" s="34" t="s">
        <v>51</v>
      </c>
      <c r="E31" s="35">
        <v>1.0</v>
      </c>
      <c r="F31" s="35">
        <v>0.75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ht="15.75" customHeight="1">
      <c r="A32" s="26"/>
      <c r="B32" s="33" t="s">
        <v>86</v>
      </c>
      <c r="C32" s="34"/>
      <c r="D32" s="34"/>
      <c r="E32" s="35"/>
      <c r="F32" s="35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ht="15.75" customHeight="1">
      <c r="A33" s="26"/>
      <c r="B33" s="33" t="s">
        <v>87</v>
      </c>
      <c r="C33" s="34" t="s">
        <v>48</v>
      </c>
      <c r="D33" s="34" t="s">
        <v>51</v>
      </c>
      <c r="E33" s="35">
        <v>0.75</v>
      </c>
      <c r="F33" s="35">
        <v>0.5</v>
      </c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ht="15.75" customHeight="1">
      <c r="A34" s="26"/>
      <c r="B34" s="33" t="s">
        <v>88</v>
      </c>
      <c r="C34" s="34"/>
      <c r="D34" s="34"/>
      <c r="E34" s="59">
        <v>0.5</v>
      </c>
      <c r="F34" s="59">
        <v>0.5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ht="15.75" customHeight="1">
      <c r="A35" s="26"/>
      <c r="B35" s="38" t="s">
        <v>38</v>
      </c>
      <c r="C35" s="38"/>
      <c r="D35" s="38"/>
      <c r="E35" s="40">
        <v>21.0</v>
      </c>
      <c r="F35" s="40">
        <v>16.0</v>
      </c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ht="15.75" customHeight="1">
      <c r="A38" s="26"/>
      <c r="B38" s="27" t="s">
        <v>89</v>
      </c>
      <c r="C38" s="28"/>
      <c r="D38" s="28"/>
      <c r="E38" s="28"/>
      <c r="F38" s="29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ht="15.75" customHeight="1">
      <c r="A39" s="26"/>
      <c r="B39" s="30" t="s">
        <v>40</v>
      </c>
      <c r="C39" s="30" t="s">
        <v>41</v>
      </c>
      <c r="D39" s="30" t="s">
        <v>42</v>
      </c>
      <c r="E39" s="30" t="s">
        <v>43</v>
      </c>
      <c r="F39" s="30" t="s">
        <v>44</v>
      </c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ht="15.75" customHeight="1">
      <c r="A40" s="26"/>
      <c r="B40" s="33" t="s">
        <v>90</v>
      </c>
      <c r="C40" s="34"/>
      <c r="D40" s="34"/>
      <c r="E40" s="35">
        <v>0.25</v>
      </c>
      <c r="F40" s="35">
        <v>1.0</v>
      </c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ht="15.75" customHeight="1">
      <c r="A41" s="26"/>
      <c r="B41" s="33" t="s">
        <v>91</v>
      </c>
      <c r="C41" s="34" t="s">
        <v>52</v>
      </c>
      <c r="D41" s="34" t="s">
        <v>63</v>
      </c>
      <c r="E41" s="35">
        <v>1.25</v>
      </c>
      <c r="F41" s="35">
        <v>2.0</v>
      </c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ht="15.75" customHeight="1">
      <c r="A42" s="26"/>
      <c r="B42" s="33" t="s">
        <v>92</v>
      </c>
      <c r="C42" s="34" t="s">
        <v>52</v>
      </c>
      <c r="D42" s="34" t="s">
        <v>63</v>
      </c>
      <c r="E42" s="35">
        <v>1.0</v>
      </c>
      <c r="F42" s="35">
        <v>2.0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ht="15.75" customHeight="1">
      <c r="A43" s="26"/>
      <c r="B43" s="33" t="s">
        <v>93</v>
      </c>
      <c r="C43" s="34" t="s">
        <v>52</v>
      </c>
      <c r="D43" s="34" t="s">
        <v>63</v>
      </c>
      <c r="E43" s="35">
        <v>0.5</v>
      </c>
      <c r="F43" s="35">
        <v>2.0</v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ht="15.75" customHeight="1">
      <c r="A44" s="26"/>
      <c r="B44" s="33" t="s">
        <v>94</v>
      </c>
      <c r="C44" s="34" t="s">
        <v>52</v>
      </c>
      <c r="D44" s="34" t="s">
        <v>63</v>
      </c>
      <c r="E44" s="35">
        <v>0.25</v>
      </c>
      <c r="F44" s="35">
        <v>1.0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ht="15.75" customHeight="1">
      <c r="A45" s="26"/>
      <c r="B45" s="33" t="s">
        <v>95</v>
      </c>
      <c r="C45" s="34" t="s">
        <v>75</v>
      </c>
      <c r="D45" s="34" t="s">
        <v>75</v>
      </c>
      <c r="E45" s="35" t="s">
        <v>75</v>
      </c>
      <c r="F45" s="35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ht="15.75" customHeight="1">
      <c r="A46" s="26"/>
      <c r="B46" s="33" t="s">
        <v>96</v>
      </c>
      <c r="C46" s="34"/>
      <c r="D46" s="34"/>
      <c r="E46" s="35"/>
      <c r="F46" s="35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ht="15.75" customHeight="1">
      <c r="A47" s="26"/>
      <c r="B47" s="33" t="s">
        <v>97</v>
      </c>
      <c r="C47" s="34" t="s">
        <v>63</v>
      </c>
      <c r="D47" s="34" t="s">
        <v>52</v>
      </c>
      <c r="E47" s="35">
        <v>2.0</v>
      </c>
      <c r="F47" s="35">
        <v>3.0</v>
      </c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ht="15.75" customHeight="1">
      <c r="A48" s="26"/>
      <c r="B48" s="33" t="s">
        <v>98</v>
      </c>
      <c r="C48" s="34" t="s">
        <v>63</v>
      </c>
      <c r="D48" s="34" t="s">
        <v>52</v>
      </c>
      <c r="E48" s="35">
        <v>0.75</v>
      </c>
      <c r="F48" s="35">
        <v>2.0</v>
      </c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ht="15.75" customHeight="1">
      <c r="A49" s="26"/>
      <c r="B49" s="38" t="s">
        <v>38</v>
      </c>
      <c r="C49" s="38"/>
      <c r="D49" s="38"/>
      <c r="E49" s="40">
        <v>7.0</v>
      </c>
      <c r="F49" s="40">
        <v>15.0</v>
      </c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ht="18.0" customHeight="1">
      <c r="A52" s="26"/>
      <c r="B52" s="27" t="s">
        <v>99</v>
      </c>
      <c r="C52" s="28"/>
      <c r="D52" s="28"/>
      <c r="E52" s="28"/>
      <c r="F52" s="29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ht="15.75" customHeight="1">
      <c r="A53" s="26"/>
      <c r="B53" s="30" t="s">
        <v>40</v>
      </c>
      <c r="C53" s="30" t="s">
        <v>41</v>
      </c>
      <c r="D53" s="30" t="s">
        <v>42</v>
      </c>
      <c r="E53" s="30" t="s">
        <v>43</v>
      </c>
      <c r="F53" s="30" t="s">
        <v>44</v>
      </c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ht="15.75" customHeight="1">
      <c r="A54" s="26"/>
      <c r="B54" s="33" t="s">
        <v>100</v>
      </c>
      <c r="C54" s="34"/>
      <c r="D54" s="34"/>
      <c r="E54" s="35">
        <v>1.0</v>
      </c>
      <c r="F54" s="35">
        <v>2.0</v>
      </c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ht="15.75" customHeight="1">
      <c r="A55" s="26"/>
      <c r="B55" s="33" t="s">
        <v>101</v>
      </c>
      <c r="C55" s="34" t="s">
        <v>63</v>
      </c>
      <c r="D55" s="34" t="s">
        <v>52</v>
      </c>
      <c r="E55" s="35">
        <v>0.5</v>
      </c>
      <c r="F55" s="35">
        <v>1.5</v>
      </c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ht="15.75" customHeight="1">
      <c r="A56" s="26"/>
      <c r="B56" s="33" t="s">
        <v>102</v>
      </c>
      <c r="C56" s="34"/>
      <c r="D56" s="34"/>
      <c r="E56" s="35">
        <v>0.25</v>
      </c>
      <c r="F56" s="35">
        <v>1.0</v>
      </c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ht="15.75" customHeight="1">
      <c r="A57" s="26"/>
      <c r="B57" s="33" t="s">
        <v>103</v>
      </c>
      <c r="C57" s="34"/>
      <c r="D57" s="34"/>
      <c r="E57" s="35">
        <v>0.25</v>
      </c>
      <c r="F57" s="35">
        <v>1.0</v>
      </c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ht="18.0" customHeight="1">
      <c r="A58" s="37"/>
      <c r="B58" s="33" t="s">
        <v>104</v>
      </c>
      <c r="C58" s="34" t="s">
        <v>51</v>
      </c>
      <c r="D58" s="34" t="s">
        <v>48</v>
      </c>
      <c r="E58" s="35">
        <v>0.25</v>
      </c>
      <c r="F58" s="35">
        <v>0.5</v>
      </c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ht="15.75" customHeight="1">
      <c r="A59" s="26"/>
      <c r="B59" s="33" t="s">
        <v>105</v>
      </c>
      <c r="C59" s="34"/>
      <c r="D59" s="34"/>
      <c r="E59" s="35">
        <v>0.25</v>
      </c>
      <c r="F59" s="35">
        <v>0.5</v>
      </c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ht="15.75" customHeight="1">
      <c r="A60" s="26"/>
      <c r="B60" s="33" t="s">
        <v>106</v>
      </c>
      <c r="C60" s="34"/>
      <c r="D60" s="34"/>
      <c r="E60" s="35">
        <v>0.25</v>
      </c>
      <c r="F60" s="35">
        <v>0.25</v>
      </c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ht="15.75" customHeight="1">
      <c r="A61" s="26"/>
      <c r="B61" s="33" t="s">
        <v>107</v>
      </c>
      <c r="C61" s="34"/>
      <c r="D61" s="34"/>
      <c r="E61" s="35">
        <v>0.0</v>
      </c>
      <c r="F61" s="35">
        <v>0.25</v>
      </c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ht="15.75" customHeight="1">
      <c r="A62" s="26"/>
      <c r="B62" s="38" t="s">
        <v>38</v>
      </c>
      <c r="C62" s="38"/>
      <c r="D62" s="38"/>
      <c r="E62" s="40">
        <v>2.75</v>
      </c>
      <c r="F62" s="40">
        <v>7.0</v>
      </c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ht="18.0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ht="15.75" customHeight="1">
      <c r="A65" s="26"/>
      <c r="B65" s="27" t="s">
        <v>108</v>
      </c>
      <c r="C65" s="28"/>
      <c r="D65" s="28"/>
      <c r="E65" s="28"/>
      <c r="F65" s="29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ht="15.75" customHeight="1">
      <c r="A66" s="26"/>
      <c r="B66" s="30" t="s">
        <v>40</v>
      </c>
      <c r="C66" s="30" t="s">
        <v>41</v>
      </c>
      <c r="D66" s="30" t="s">
        <v>42</v>
      </c>
      <c r="E66" s="30" t="s">
        <v>43</v>
      </c>
      <c r="F66" s="30" t="s">
        <v>44</v>
      </c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ht="15.75" customHeight="1">
      <c r="A67" s="26"/>
      <c r="B67" s="33" t="s">
        <v>109</v>
      </c>
      <c r="C67" s="34"/>
      <c r="D67" s="34"/>
      <c r="E67" s="35"/>
      <c r="F67" s="35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ht="15.75" customHeight="1">
      <c r="A68" s="26"/>
      <c r="B68" s="33" t="s">
        <v>110</v>
      </c>
      <c r="C68" s="34" t="s">
        <v>64</v>
      </c>
      <c r="D68" s="34" t="s">
        <v>63</v>
      </c>
      <c r="E68" s="35">
        <v>0.25</v>
      </c>
      <c r="F68" s="35">
        <v>1.0</v>
      </c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ht="15.75" customHeight="1">
      <c r="A69" s="26"/>
      <c r="B69" s="33" t="s">
        <v>111</v>
      </c>
      <c r="C69" s="34"/>
      <c r="D69" s="34"/>
      <c r="E69" s="35"/>
      <c r="F69" s="35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ht="15.75" customHeight="1">
      <c r="A70" s="37"/>
      <c r="B70" s="33" t="s">
        <v>112</v>
      </c>
      <c r="C70" s="34"/>
      <c r="D70" s="34"/>
      <c r="E70" s="35">
        <v>0.25</v>
      </c>
      <c r="F70" s="35">
        <v>0.5</v>
      </c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ht="15.75" customHeight="1">
      <c r="A71" s="26"/>
      <c r="B71" s="33" t="s">
        <v>113</v>
      </c>
      <c r="C71" s="34"/>
      <c r="D71" s="34"/>
      <c r="E71" s="35">
        <v>0.25</v>
      </c>
      <c r="F71" s="35">
        <v>0.5</v>
      </c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ht="15.75" customHeight="1">
      <c r="A72" s="26"/>
      <c r="B72" s="33" t="s">
        <v>114</v>
      </c>
      <c r="C72" s="34"/>
      <c r="D72" s="34"/>
      <c r="E72" s="35">
        <v>0.25</v>
      </c>
      <c r="F72" s="35">
        <v>0.5</v>
      </c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ht="15.75" customHeight="1">
      <c r="A73" s="26"/>
      <c r="B73" s="33" t="s">
        <v>115</v>
      </c>
      <c r="C73" s="34"/>
      <c r="D73" s="34"/>
      <c r="E73" s="35">
        <v>0.25</v>
      </c>
      <c r="F73" s="35">
        <v>0.5</v>
      </c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ht="15.75" customHeight="1">
      <c r="A74" s="26"/>
      <c r="B74" s="33" t="s">
        <v>116</v>
      </c>
      <c r="C74" s="34"/>
      <c r="D74" s="34"/>
      <c r="E74" s="35">
        <v>0.5</v>
      </c>
      <c r="F74" s="35">
        <v>2.5</v>
      </c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ht="15.75" customHeight="1">
      <c r="A75" s="26"/>
      <c r="B75" s="33" t="s">
        <v>117</v>
      </c>
      <c r="C75" s="34"/>
      <c r="D75" s="34"/>
      <c r="E75" s="35">
        <v>0.0</v>
      </c>
      <c r="F75" s="35">
        <v>1.0</v>
      </c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ht="15.75" customHeight="1">
      <c r="A76" s="26"/>
      <c r="B76" s="33" t="s">
        <v>86</v>
      </c>
      <c r="C76" s="34"/>
      <c r="D76" s="34"/>
      <c r="E76" s="35"/>
      <c r="F76" s="35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ht="15.75" customHeight="1">
      <c r="A77" s="26"/>
      <c r="B77" s="33" t="s">
        <v>118</v>
      </c>
      <c r="C77" s="34" t="s">
        <v>51</v>
      </c>
      <c r="D77" s="34" t="s">
        <v>48</v>
      </c>
      <c r="E77" s="35">
        <v>0.25</v>
      </c>
      <c r="F77" s="35">
        <v>1.0</v>
      </c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ht="15.75" customHeight="1">
      <c r="A78" s="26"/>
      <c r="B78" s="33" t="s">
        <v>119</v>
      </c>
      <c r="C78" s="34" t="s">
        <v>75</v>
      </c>
      <c r="D78" s="34" t="s">
        <v>75</v>
      </c>
      <c r="E78" s="35">
        <v>0.0</v>
      </c>
      <c r="F78" s="35">
        <v>0.5</v>
      </c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ht="15.75" customHeight="1">
      <c r="A79" s="26"/>
      <c r="B79" s="38" t="s">
        <v>38</v>
      </c>
      <c r="C79" s="38"/>
      <c r="D79" s="38"/>
      <c r="E79" s="40">
        <v>2.0</v>
      </c>
      <c r="F79" s="40">
        <v>8.0</v>
      </c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ht="15.75" customHeight="1">
      <c r="A82" s="26"/>
      <c r="B82" s="27" t="s">
        <v>120</v>
      </c>
      <c r="C82" s="28"/>
      <c r="D82" s="28"/>
      <c r="E82" s="28"/>
      <c r="F82" s="29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ht="15.75" customHeight="1">
      <c r="A83" s="26"/>
      <c r="B83" s="30" t="s">
        <v>40</v>
      </c>
      <c r="C83" s="30" t="s">
        <v>41</v>
      </c>
      <c r="D83" s="30" t="s">
        <v>42</v>
      </c>
      <c r="E83" s="30" t="s">
        <v>43</v>
      </c>
      <c r="F83" s="30" t="s">
        <v>44</v>
      </c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ht="15.75" customHeight="1">
      <c r="A84" s="26"/>
      <c r="B84" s="33" t="s">
        <v>121</v>
      </c>
      <c r="C84" s="34" t="s">
        <v>75</v>
      </c>
      <c r="D84" s="34" t="s">
        <v>75</v>
      </c>
      <c r="E84" s="35" t="s">
        <v>75</v>
      </c>
      <c r="F84" s="35">
        <v>3.0</v>
      </c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ht="15.75" customHeight="1">
      <c r="A85" s="26"/>
      <c r="B85" s="33" t="s">
        <v>122</v>
      </c>
      <c r="C85" s="34" t="s">
        <v>75</v>
      </c>
      <c r="D85" s="34" t="s">
        <v>75</v>
      </c>
      <c r="E85" s="35" t="s">
        <v>75</v>
      </c>
      <c r="F85" s="35">
        <v>4.0</v>
      </c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ht="15.75" customHeight="1">
      <c r="A86" s="26"/>
      <c r="B86" s="33" t="s">
        <v>123</v>
      </c>
      <c r="C86" s="34" t="s">
        <v>75</v>
      </c>
      <c r="D86" s="34" t="s">
        <v>75</v>
      </c>
      <c r="E86" s="35" t="s">
        <v>75</v>
      </c>
      <c r="F86" s="35">
        <v>4.0</v>
      </c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ht="15.75" customHeight="1">
      <c r="A87" s="26"/>
      <c r="B87" s="33" t="s">
        <v>124</v>
      </c>
      <c r="C87" s="34" t="s">
        <v>75</v>
      </c>
      <c r="D87" s="34" t="s">
        <v>75</v>
      </c>
      <c r="E87" s="35" t="s">
        <v>75</v>
      </c>
      <c r="F87" s="35">
        <v>4.0</v>
      </c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ht="14.25" customHeight="1">
      <c r="A88" s="26"/>
      <c r="B88" s="33" t="s">
        <v>125</v>
      </c>
      <c r="C88" s="34" t="s">
        <v>75</v>
      </c>
      <c r="D88" s="34" t="s">
        <v>75</v>
      </c>
      <c r="E88" s="35" t="s">
        <v>75</v>
      </c>
      <c r="F88" s="35">
        <v>11.0</v>
      </c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ht="15.75" customHeight="1">
      <c r="A89" s="26"/>
      <c r="B89" s="38" t="s">
        <v>38</v>
      </c>
      <c r="C89" s="38"/>
      <c r="D89" s="38"/>
      <c r="E89" s="40">
        <f>SUM(E84:E88)</f>
        <v>0</v>
      </c>
      <c r="F89" s="40">
        <f>15+11</f>
        <v>26</v>
      </c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ht="15.75" customHeight="1">
      <c r="A92" s="26"/>
      <c r="B92" s="27" t="s">
        <v>126</v>
      </c>
      <c r="C92" s="28"/>
      <c r="D92" s="28"/>
      <c r="E92" s="28"/>
      <c r="F92" s="29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ht="15.75" customHeight="1">
      <c r="A93" s="26"/>
      <c r="B93" s="60" t="s">
        <v>40</v>
      </c>
      <c r="C93" s="30" t="s">
        <v>41</v>
      </c>
      <c r="D93" s="30" t="s">
        <v>42</v>
      </c>
      <c r="E93" s="30" t="s">
        <v>43</v>
      </c>
      <c r="F93" s="30" t="s">
        <v>44</v>
      </c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ht="15.75" customHeight="1">
      <c r="A94" s="26"/>
      <c r="B94" s="33" t="s">
        <v>127</v>
      </c>
      <c r="C94" s="34" t="s">
        <v>51</v>
      </c>
      <c r="D94" s="34" t="s">
        <v>52</v>
      </c>
      <c r="E94" s="35">
        <v>0.75</v>
      </c>
      <c r="F94" s="35">
        <v>1.0</v>
      </c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ht="15.75" customHeight="1">
      <c r="A95" s="26"/>
      <c r="B95" s="33" t="s">
        <v>128</v>
      </c>
      <c r="C95" s="34" t="s">
        <v>52</v>
      </c>
      <c r="D95" s="34" t="s">
        <v>51</v>
      </c>
      <c r="E95" s="35">
        <v>1.5</v>
      </c>
      <c r="F95" s="35">
        <v>2.0</v>
      </c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ht="15.75" customHeight="1">
      <c r="A96" s="26"/>
      <c r="B96" s="33" t="s">
        <v>129</v>
      </c>
      <c r="C96" s="34" t="s">
        <v>52</v>
      </c>
      <c r="D96" s="34" t="s">
        <v>51</v>
      </c>
      <c r="E96" s="35">
        <v>1.25</v>
      </c>
      <c r="F96" s="35">
        <v>1.5</v>
      </c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ht="15.75" customHeight="1">
      <c r="A97" s="26"/>
      <c r="B97" s="33" t="s">
        <v>130</v>
      </c>
      <c r="C97" s="34"/>
      <c r="D97" s="34"/>
      <c r="E97" s="35">
        <v>0.75</v>
      </c>
      <c r="F97" s="35">
        <v>1.0</v>
      </c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ht="15.75" customHeight="1">
      <c r="A98" s="26"/>
      <c r="B98" s="33" t="s">
        <v>131</v>
      </c>
      <c r="C98" s="34" t="s">
        <v>64</v>
      </c>
      <c r="D98" s="34" t="s">
        <v>132</v>
      </c>
      <c r="E98" s="35">
        <v>2.5</v>
      </c>
      <c r="F98" s="35">
        <v>1.5</v>
      </c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ht="15.75" customHeight="1">
      <c r="A99" s="26"/>
      <c r="B99" s="33" t="s">
        <v>133</v>
      </c>
      <c r="C99" s="34" t="s">
        <v>52</v>
      </c>
      <c r="D99" s="34" t="s">
        <v>51</v>
      </c>
      <c r="E99" s="35">
        <v>1.0</v>
      </c>
      <c r="F99" s="35">
        <v>1.5</v>
      </c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ht="15.75" customHeight="1">
      <c r="A100" s="26"/>
      <c r="B100" s="33" t="s">
        <v>134</v>
      </c>
      <c r="C100" s="34" t="s">
        <v>75</v>
      </c>
      <c r="D100" s="34" t="s">
        <v>75</v>
      </c>
      <c r="E100" s="35" t="s">
        <v>75</v>
      </c>
      <c r="F100" s="35">
        <v>1.0</v>
      </c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ht="15.75" customHeight="1">
      <c r="A101" s="26"/>
      <c r="B101" s="33" t="s">
        <v>135</v>
      </c>
      <c r="C101" s="34" t="s">
        <v>75</v>
      </c>
      <c r="D101" s="34" t="s">
        <v>75</v>
      </c>
      <c r="E101" s="35" t="s">
        <v>75</v>
      </c>
      <c r="F101" s="35">
        <v>0.75</v>
      </c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ht="15.75" customHeight="1">
      <c r="A102" s="26"/>
      <c r="B102" s="33" t="s">
        <v>136</v>
      </c>
      <c r="C102" s="34" t="s">
        <v>75</v>
      </c>
      <c r="D102" s="34" t="s">
        <v>75</v>
      </c>
      <c r="E102" s="35" t="s">
        <v>75</v>
      </c>
      <c r="F102" s="35">
        <v>0.75</v>
      </c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ht="15.75" customHeight="1">
      <c r="A103" s="26"/>
      <c r="B103" s="38" t="s">
        <v>38</v>
      </c>
      <c r="C103" s="38"/>
      <c r="D103" s="38"/>
      <c r="E103" s="40">
        <v>11.167</v>
      </c>
      <c r="F103" s="40">
        <v>11.0</v>
      </c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ht="15.75" customHeight="1">
      <c r="A106" s="26"/>
      <c r="B106" s="27" t="s">
        <v>65</v>
      </c>
      <c r="C106" s="28"/>
      <c r="D106" s="28"/>
      <c r="E106" s="28"/>
      <c r="F106" s="29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ht="15.75" customHeight="1">
      <c r="A107" s="26"/>
      <c r="B107" s="60" t="s">
        <v>40</v>
      </c>
      <c r="C107" s="30" t="s">
        <v>41</v>
      </c>
      <c r="D107" s="30" t="s">
        <v>42</v>
      </c>
      <c r="E107" s="30" t="s">
        <v>43</v>
      </c>
      <c r="F107" s="30" t="s">
        <v>44</v>
      </c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ht="15.75" customHeight="1">
      <c r="A108" s="26"/>
      <c r="B108" s="33" t="s">
        <v>137</v>
      </c>
      <c r="C108" s="34" t="s">
        <v>132</v>
      </c>
      <c r="D108" s="34" t="s">
        <v>64</v>
      </c>
      <c r="E108" s="35">
        <v>0.75</v>
      </c>
      <c r="F108" s="35">
        <v>0.25</v>
      </c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ht="15.75" customHeight="1">
      <c r="A109" s="26"/>
      <c r="B109" s="33" t="s">
        <v>138</v>
      </c>
      <c r="C109" s="34"/>
      <c r="D109" s="34"/>
      <c r="E109" s="35">
        <v>1.0</v>
      </c>
      <c r="F109" s="35">
        <v>0.25</v>
      </c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ht="15.75" customHeight="1">
      <c r="A110" s="26"/>
      <c r="B110" s="33" t="s">
        <v>139</v>
      </c>
      <c r="C110" s="34" t="s">
        <v>132</v>
      </c>
      <c r="D110" s="34" t="s">
        <v>64</v>
      </c>
      <c r="E110" s="35">
        <v>0.5</v>
      </c>
      <c r="F110" s="35">
        <v>0.1</v>
      </c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ht="15.75" customHeight="1">
      <c r="A111" s="26"/>
      <c r="B111" s="33" t="s">
        <v>140</v>
      </c>
      <c r="C111" s="34"/>
      <c r="D111" s="34"/>
      <c r="E111" s="35">
        <v>0.75</v>
      </c>
      <c r="F111" s="35">
        <v>0.25</v>
      </c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ht="15.75" customHeight="1">
      <c r="A112" s="26"/>
      <c r="B112" s="33" t="s">
        <v>141</v>
      </c>
      <c r="C112" s="34"/>
      <c r="D112" s="34"/>
      <c r="E112" s="35">
        <v>1.0</v>
      </c>
      <c r="F112" s="35">
        <v>0.25</v>
      </c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ht="15.75" customHeight="1">
      <c r="A113" s="26"/>
      <c r="B113" s="33" t="s">
        <v>142</v>
      </c>
      <c r="C113" s="34" t="s">
        <v>75</v>
      </c>
      <c r="D113" s="34" t="s">
        <v>75</v>
      </c>
      <c r="E113" s="35">
        <v>0.25</v>
      </c>
      <c r="F113" s="35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ht="15.75" customHeight="1">
      <c r="A114" s="26"/>
      <c r="B114" s="33" t="s">
        <v>143</v>
      </c>
      <c r="C114" s="34"/>
      <c r="D114" s="34"/>
      <c r="E114" s="35">
        <v>0.083</v>
      </c>
      <c r="F114" s="35">
        <v>0.05</v>
      </c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ht="15.75" customHeight="1">
      <c r="A115" s="26"/>
      <c r="B115" s="33" t="s">
        <v>144</v>
      </c>
      <c r="C115" s="34"/>
      <c r="D115" s="34"/>
      <c r="E115" s="35">
        <v>2.0</v>
      </c>
      <c r="F115" s="35">
        <v>0.5</v>
      </c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ht="15.75" customHeight="1">
      <c r="A116" s="26"/>
      <c r="B116" s="33" t="s">
        <v>145</v>
      </c>
      <c r="C116" s="34"/>
      <c r="D116" s="34"/>
      <c r="E116" s="35">
        <v>4.5</v>
      </c>
      <c r="F116" s="35">
        <v>0.75</v>
      </c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ht="15.75" customHeight="1">
      <c r="A117" s="26"/>
      <c r="B117" s="33" t="s">
        <v>146</v>
      </c>
      <c r="C117" s="34"/>
      <c r="D117" s="34"/>
      <c r="E117" s="35">
        <v>1.5</v>
      </c>
      <c r="F117" s="35">
        <v>0.25</v>
      </c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ht="15.75" customHeight="1">
      <c r="A118" s="26"/>
      <c r="B118" s="33" t="s">
        <v>147</v>
      </c>
      <c r="C118" s="34"/>
      <c r="D118" s="34"/>
      <c r="E118" s="35">
        <v>0.333</v>
      </c>
      <c r="F118" s="35">
        <v>0.1</v>
      </c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ht="15.75" customHeight="1">
      <c r="A119" s="26"/>
      <c r="B119" s="33" t="s">
        <v>148</v>
      </c>
      <c r="C119" s="34"/>
      <c r="D119" s="34"/>
      <c r="E119" s="35">
        <v>0.5</v>
      </c>
      <c r="F119" s="35">
        <v>0.2</v>
      </c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ht="15.75" customHeight="1">
      <c r="A120" s="26"/>
      <c r="B120" s="33" t="s">
        <v>149</v>
      </c>
      <c r="C120" s="34" t="s">
        <v>75</v>
      </c>
      <c r="D120" s="34" t="s">
        <v>75</v>
      </c>
      <c r="E120" s="35">
        <v>0.25</v>
      </c>
      <c r="F120" s="35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ht="15.75" customHeight="1">
      <c r="A121" s="26"/>
      <c r="B121" s="33" t="s">
        <v>150</v>
      </c>
      <c r="C121" s="34" t="s">
        <v>75</v>
      </c>
      <c r="D121" s="34" t="s">
        <v>75</v>
      </c>
      <c r="E121" s="35">
        <v>0.25</v>
      </c>
      <c r="F121" s="35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ht="15.75" customHeight="1">
      <c r="A122" s="26"/>
      <c r="B122" s="33" t="s">
        <v>151</v>
      </c>
      <c r="C122" s="34" t="s">
        <v>75</v>
      </c>
      <c r="D122" s="34" t="s">
        <v>75</v>
      </c>
      <c r="E122" s="35">
        <v>1.5</v>
      </c>
      <c r="F122" s="35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ht="15.75" customHeight="1">
      <c r="A123" s="26"/>
      <c r="B123" s="33" t="s">
        <v>152</v>
      </c>
      <c r="C123" s="34" t="s">
        <v>75</v>
      </c>
      <c r="D123" s="34" t="s">
        <v>75</v>
      </c>
      <c r="E123" s="35">
        <v>1.25</v>
      </c>
      <c r="F123" s="35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ht="15.75" customHeight="1">
      <c r="A124" s="26"/>
      <c r="B124" s="33" t="s">
        <v>153</v>
      </c>
      <c r="C124" s="34"/>
      <c r="D124" s="34"/>
      <c r="E124" s="35">
        <v>1.25</v>
      </c>
      <c r="F124" s="35">
        <v>0.2</v>
      </c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ht="15.75" customHeight="1">
      <c r="A125" s="26"/>
      <c r="B125" s="33" t="s">
        <v>154</v>
      </c>
      <c r="C125" s="34"/>
      <c r="D125" s="34"/>
      <c r="E125" s="35">
        <v>0.5</v>
      </c>
      <c r="F125" s="35">
        <v>0.15</v>
      </c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ht="15.75" customHeight="1">
      <c r="A126" s="26"/>
      <c r="B126" s="33" t="s">
        <v>155</v>
      </c>
      <c r="C126" s="34"/>
      <c r="D126" s="34"/>
      <c r="E126" s="35">
        <v>0.5</v>
      </c>
      <c r="F126" s="35">
        <v>0.1</v>
      </c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ht="15.75" customHeight="1">
      <c r="A127" s="26"/>
      <c r="B127" s="33" t="s">
        <v>156</v>
      </c>
      <c r="C127" s="34" t="s">
        <v>75</v>
      </c>
      <c r="D127" s="34" t="s">
        <v>75</v>
      </c>
      <c r="E127" s="35">
        <v>0.667</v>
      </c>
      <c r="F127" s="35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ht="15.75" customHeight="1">
      <c r="A128" s="26"/>
      <c r="B128" s="33" t="s">
        <v>157</v>
      </c>
      <c r="C128" s="34"/>
      <c r="D128" s="34"/>
      <c r="E128" s="35">
        <v>0.5</v>
      </c>
      <c r="F128" s="35">
        <v>0.15</v>
      </c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ht="15.75" customHeight="1">
      <c r="A129" s="26"/>
      <c r="B129" s="33" t="s">
        <v>158</v>
      </c>
      <c r="C129" s="34" t="s">
        <v>75</v>
      </c>
      <c r="D129" s="34" t="s">
        <v>75</v>
      </c>
      <c r="E129" s="35">
        <v>0.417</v>
      </c>
      <c r="F129" s="35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ht="15.75" customHeight="1">
      <c r="A130" s="26"/>
      <c r="B130" s="38" t="s">
        <v>38</v>
      </c>
      <c r="C130" s="38"/>
      <c r="D130" s="38"/>
      <c r="E130" s="40">
        <f>3.75+8.5+8</f>
        <v>20.25</v>
      </c>
      <c r="F130" s="40">
        <v>5.0</v>
      </c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</row>
  </sheetData>
  <mergeCells count="18">
    <mergeCell ref="T15:U15"/>
    <mergeCell ref="V15:W15"/>
    <mergeCell ref="X15:Y15"/>
    <mergeCell ref="Z15:AA15"/>
    <mergeCell ref="B12:F12"/>
    <mergeCell ref="B38:F38"/>
    <mergeCell ref="B52:F52"/>
    <mergeCell ref="B65:F65"/>
    <mergeCell ref="B82:F82"/>
    <mergeCell ref="B92:F92"/>
    <mergeCell ref="B106:F106"/>
    <mergeCell ref="B2:F2"/>
    <mergeCell ref="J15:K15"/>
    <mergeCell ref="L15:M15"/>
    <mergeCell ref="N15:O15"/>
    <mergeCell ref="P15:Q15"/>
    <mergeCell ref="R15:S15"/>
    <mergeCell ref="H16:I16"/>
  </mergeCells>
  <conditionalFormatting sqref="H17:I30">
    <cfRule type="expression" dxfId="0" priority="1">
      <formula>LEN(TRIM(H17))&gt;0</formula>
    </cfRule>
  </conditionalFormatting>
  <printOptions/>
  <pageMargins bottom="0.3" footer="0.0" header="0.0" left="0.7" right="0.7" top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4.57"/>
    <col customWidth="1" min="3" max="3" width="56.14"/>
    <col customWidth="1" min="4" max="5" width="17.0"/>
    <col customWidth="1" min="6" max="6" width="31.71"/>
    <col customWidth="1" min="7" max="7" width="25.57"/>
    <col customWidth="1" min="8" max="8" width="14.43"/>
    <col customWidth="1" min="9" max="9" width="17.0"/>
    <col customWidth="1" min="10" max="16" width="14.43"/>
    <col customWidth="1" min="17" max="17" width="16.86"/>
    <col customWidth="1" min="18" max="18" width="16.57"/>
    <col customWidth="1" min="19" max="19" width="17.57"/>
    <col customWidth="1" min="20" max="20" width="16.86"/>
    <col customWidth="1" min="21" max="21" width="17.43"/>
    <col customWidth="1" min="22" max="22" width="18.29"/>
    <col customWidth="1" min="23" max="23" width="17.0"/>
    <col customWidth="1" min="24" max="24" width="16.86"/>
    <col customWidth="1" min="25" max="25" width="18.71"/>
    <col customWidth="1" min="26" max="26" width="16.43"/>
  </cols>
  <sheetData>
    <row r="1" ht="14.25" customHeight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20.25" customHeight="1">
      <c r="A2" s="26"/>
      <c r="B2" s="26"/>
      <c r="C2" s="61" t="s">
        <v>159</v>
      </c>
      <c r="D2" s="28"/>
      <c r="E2" s="28"/>
      <c r="F2" s="28"/>
      <c r="G2" s="29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8.0" customHeight="1">
      <c r="A3" s="26"/>
      <c r="B3" s="26"/>
      <c r="C3" s="30" t="s">
        <v>40</v>
      </c>
      <c r="D3" s="30" t="s">
        <v>41</v>
      </c>
      <c r="E3" s="30" t="s">
        <v>42</v>
      </c>
      <c r="F3" s="30" t="s">
        <v>43</v>
      </c>
      <c r="G3" s="30" t="s">
        <v>44</v>
      </c>
      <c r="H3" s="26"/>
      <c r="I3" s="31" t="s">
        <v>45</v>
      </c>
      <c r="J3" s="32"/>
      <c r="K3" s="32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5.0" customHeight="1">
      <c r="A4" s="26"/>
      <c r="B4" s="26"/>
      <c r="C4" s="62" t="s">
        <v>160</v>
      </c>
      <c r="D4" s="62" t="s">
        <v>56</v>
      </c>
      <c r="E4" s="62" t="s">
        <v>51</v>
      </c>
      <c r="F4" s="63">
        <v>0.75</v>
      </c>
      <c r="G4" s="63">
        <v>0.33</v>
      </c>
      <c r="H4" s="26"/>
      <c r="I4" s="31" t="s">
        <v>49</v>
      </c>
      <c r="J4" s="32"/>
      <c r="K4" s="32">
        <f>SUM(F7+F14+F28+F46+F55+F105+F117)</f>
        <v>101.81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5.0" customHeight="1">
      <c r="A5" s="64"/>
      <c r="B5" s="26"/>
      <c r="C5" s="62" t="s">
        <v>161</v>
      </c>
      <c r="D5" s="62" t="s">
        <v>132</v>
      </c>
      <c r="E5" s="62" t="s">
        <v>47</v>
      </c>
      <c r="F5" s="63">
        <v>0.66</v>
      </c>
      <c r="G5" s="63">
        <v>0.33</v>
      </c>
      <c r="H5" s="26"/>
      <c r="I5" s="31" t="s">
        <v>53</v>
      </c>
      <c r="J5" s="32"/>
      <c r="K5" s="32">
        <f>SUM(G7+G14+G28+G46+G55+G105+G117)</f>
        <v>94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5.0" customHeight="1">
      <c r="A6" s="26"/>
      <c r="B6" s="26"/>
      <c r="C6" s="62" t="s">
        <v>162</v>
      </c>
      <c r="D6" s="62" t="s">
        <v>132</v>
      </c>
      <c r="E6" s="62" t="s">
        <v>47</v>
      </c>
      <c r="F6" s="63">
        <v>1.25</v>
      </c>
      <c r="G6" s="63">
        <v>0.33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5.0" customHeight="1">
      <c r="A7" s="26"/>
      <c r="B7" s="26"/>
      <c r="C7" s="38" t="s">
        <v>38</v>
      </c>
      <c r="D7" s="38"/>
      <c r="E7" s="38"/>
      <c r="F7" s="40">
        <f>SUM(F4:F6)</f>
        <v>2.66</v>
      </c>
      <c r="G7" s="65">
        <v>1.0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2.75" customHeight="1">
      <c r="A8" s="26"/>
      <c r="B8" s="26"/>
      <c r="C8" s="34"/>
      <c r="D8" s="34"/>
      <c r="E8" s="34"/>
      <c r="F8" s="35"/>
      <c r="G8" s="35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5.0" customHeight="1">
      <c r="A9" s="26"/>
      <c r="B9" s="26"/>
      <c r="C9" s="34"/>
      <c r="D9" s="34"/>
      <c r="E9" s="34"/>
      <c r="F9" s="35"/>
      <c r="G9" s="35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5.0" customHeight="1">
      <c r="A10" s="26"/>
      <c r="B10" s="26"/>
      <c r="C10" s="34"/>
      <c r="D10" s="34"/>
      <c r="E10" s="34"/>
      <c r="F10" s="35"/>
      <c r="G10" s="35"/>
      <c r="H10" s="26"/>
      <c r="I10" s="26" t="s">
        <v>60</v>
      </c>
      <c r="J10" s="41">
        <v>14.0</v>
      </c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8.0" customHeight="1">
      <c r="A11" s="64"/>
      <c r="B11" s="26"/>
      <c r="C11" s="61" t="s">
        <v>163</v>
      </c>
      <c r="D11" s="28"/>
      <c r="E11" s="28"/>
      <c r="F11" s="28"/>
      <c r="G11" s="29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5.0" customHeight="1">
      <c r="A12" s="26"/>
      <c r="C12" s="30" t="s">
        <v>40</v>
      </c>
      <c r="D12" s="30" t="s">
        <v>41</v>
      </c>
      <c r="E12" s="30" t="s">
        <v>42</v>
      </c>
      <c r="F12" s="30" t="s">
        <v>43</v>
      </c>
      <c r="G12" s="30" t="s">
        <v>44</v>
      </c>
      <c r="H12" s="26"/>
      <c r="I12" s="26"/>
      <c r="J12" s="26"/>
      <c r="K12" s="66" t="s">
        <v>164</v>
      </c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5.0" customHeight="1">
      <c r="A13" s="26"/>
      <c r="B13" s="26"/>
      <c r="C13" s="62" t="s">
        <v>165</v>
      </c>
      <c r="D13" s="62" t="s">
        <v>56</v>
      </c>
      <c r="E13" s="62" t="s">
        <v>51</v>
      </c>
      <c r="F13" s="63">
        <v>0.58</v>
      </c>
      <c r="G13" s="63">
        <v>1.0</v>
      </c>
      <c r="H13" s="26"/>
      <c r="I13" s="26"/>
      <c r="J13" s="26"/>
      <c r="K13" s="43" t="s">
        <v>38</v>
      </c>
      <c r="L13" s="44"/>
      <c r="M13" s="67" t="s">
        <v>9</v>
      </c>
      <c r="N13" s="44"/>
      <c r="O13" s="67" t="s">
        <v>10</v>
      </c>
      <c r="P13" s="44"/>
      <c r="Q13" s="67" t="s">
        <v>11</v>
      </c>
      <c r="R13" s="44"/>
      <c r="S13" s="67" t="s">
        <v>13</v>
      </c>
      <c r="T13" s="44"/>
      <c r="U13" s="67" t="s">
        <v>166</v>
      </c>
      <c r="V13" s="44"/>
      <c r="W13" s="67" t="s">
        <v>167</v>
      </c>
      <c r="X13" s="44"/>
      <c r="Y13" s="67" t="s">
        <v>168</v>
      </c>
      <c r="Z13" s="44"/>
    </row>
    <row r="14" ht="15.75" customHeight="1">
      <c r="A14" s="1"/>
      <c r="B14" s="68"/>
      <c r="C14" s="38" t="s">
        <v>38</v>
      </c>
      <c r="D14" s="38"/>
      <c r="E14" s="38"/>
      <c r="F14" s="40">
        <f t="shared" ref="F14:G14" si="1">F13</f>
        <v>0.58</v>
      </c>
      <c r="G14" s="40">
        <f t="shared" si="1"/>
        <v>1</v>
      </c>
      <c r="H14" s="26"/>
      <c r="I14" s="46" t="s">
        <v>67</v>
      </c>
      <c r="J14" s="44"/>
      <c r="K14" s="47" t="s">
        <v>68</v>
      </c>
      <c r="L14" s="48" t="s">
        <v>69</v>
      </c>
      <c r="M14" s="47" t="s">
        <v>68</v>
      </c>
      <c r="N14" s="48" t="s">
        <v>69</v>
      </c>
      <c r="O14" s="47" t="s">
        <v>68</v>
      </c>
      <c r="P14" s="48" t="s">
        <v>69</v>
      </c>
      <c r="Q14" s="47" t="s">
        <v>68</v>
      </c>
      <c r="R14" s="48" t="s">
        <v>69</v>
      </c>
      <c r="S14" s="47" t="s">
        <v>68</v>
      </c>
      <c r="T14" s="48" t="s">
        <v>69</v>
      </c>
      <c r="U14" s="47" t="s">
        <v>68</v>
      </c>
      <c r="V14" s="48" t="s">
        <v>69</v>
      </c>
      <c r="W14" s="47" t="s">
        <v>68</v>
      </c>
      <c r="X14" s="48" t="s">
        <v>69</v>
      </c>
      <c r="Y14" s="47" t="s">
        <v>68</v>
      </c>
      <c r="Z14" s="48" t="s">
        <v>69</v>
      </c>
    </row>
    <row r="15" ht="15.75" customHeight="1">
      <c r="A15" s="26"/>
      <c r="B15" s="26"/>
      <c r="C15" s="34"/>
      <c r="D15" s="34"/>
      <c r="E15" s="34"/>
      <c r="F15" s="35"/>
      <c r="G15" s="35"/>
      <c r="H15" s="26"/>
      <c r="I15" s="69">
        <v>46091.0</v>
      </c>
      <c r="J15" s="70">
        <v>1.0</v>
      </c>
      <c r="K15" s="41">
        <v>94.0</v>
      </c>
      <c r="L15" s="26">
        <f t="shared" ref="L15:L28" si="2">N15+P15+R15+T15+V15+X15+Z15</f>
        <v>104.31</v>
      </c>
      <c r="M15" s="71">
        <v>1.0</v>
      </c>
      <c r="N15" s="71">
        <v>2.66</v>
      </c>
      <c r="O15" s="71">
        <v>1.0</v>
      </c>
      <c r="P15" s="71">
        <v>0.58</v>
      </c>
      <c r="Q15" s="71">
        <v>10.0</v>
      </c>
      <c r="R15" s="71">
        <v>6.41</v>
      </c>
      <c r="S15" s="71">
        <v>31.0</v>
      </c>
      <c r="T15" s="71">
        <v>11.5</v>
      </c>
      <c r="U15" s="71">
        <v>25.0</v>
      </c>
      <c r="V15" s="71">
        <v>12.0</v>
      </c>
      <c r="W15" s="71">
        <v>20.0</v>
      </c>
      <c r="X15" s="71">
        <v>56.66</v>
      </c>
      <c r="Y15" s="71">
        <v>6.0</v>
      </c>
      <c r="Z15" s="71">
        <v>14.5</v>
      </c>
    </row>
    <row r="16" ht="16.5" customHeight="1">
      <c r="A16" s="26"/>
      <c r="B16" s="26"/>
      <c r="C16" s="34"/>
      <c r="D16" s="34"/>
      <c r="E16" s="34"/>
      <c r="F16" s="35"/>
      <c r="G16" s="35"/>
      <c r="H16" s="26"/>
      <c r="I16" s="69">
        <v>46092.0</v>
      </c>
      <c r="J16" s="70">
        <v>2.0</v>
      </c>
      <c r="K16" s="52">
        <f t="shared" ref="K16:K28" si="3">K15-($K$15/($J$10-1))</f>
        <v>86.76923077</v>
      </c>
      <c r="L16" s="26">
        <f t="shared" si="2"/>
        <v>104.31</v>
      </c>
      <c r="M16" s="52">
        <f t="shared" ref="M16:M28" si="4">$M$15*(1-1/$J$10*J16)</f>
        <v>0.8571428571</v>
      </c>
      <c r="N16" s="71">
        <v>2.66</v>
      </c>
      <c r="O16" s="52">
        <f t="shared" ref="O16:O28" si="5">$O$15*(1-1/$J$10*J16)</f>
        <v>0.8571428571</v>
      </c>
      <c r="P16" s="71">
        <v>0.58</v>
      </c>
      <c r="Q16" s="52">
        <f t="shared" ref="Q16:Q28" si="6">$Q$15*(1-1/$J$10*J16)</f>
        <v>8.571428571</v>
      </c>
      <c r="R16" s="71">
        <v>6.41</v>
      </c>
      <c r="S16" s="52">
        <f t="shared" ref="S16:S28" si="7">$S$15*(1-1/$J$10*J16)</f>
        <v>26.57142857</v>
      </c>
      <c r="T16" s="71">
        <v>11.5</v>
      </c>
      <c r="U16" s="52">
        <f t="shared" ref="U16:U28" si="8">$U$15*(1-1/$J$10*J16)</f>
        <v>21.42857143</v>
      </c>
      <c r="V16" s="71">
        <v>12.0</v>
      </c>
      <c r="W16" s="52">
        <f t="shared" ref="W16:W28" si="9">$W$15*(1-1/$J$10*J16)</f>
        <v>17.14285714</v>
      </c>
      <c r="X16" s="71">
        <v>56.66</v>
      </c>
      <c r="Y16" s="52">
        <f t="shared" ref="Y16:Y28" si="10">$Y$15*(1-1/$J$10*J16)</f>
        <v>5.142857143</v>
      </c>
      <c r="Z16" s="71">
        <v>14.5</v>
      </c>
    </row>
    <row r="17" ht="16.5" customHeight="1">
      <c r="A17" s="26"/>
      <c r="B17" s="26"/>
      <c r="C17" s="34"/>
      <c r="D17" s="34"/>
      <c r="E17" s="34"/>
      <c r="F17" s="35"/>
      <c r="G17" s="35"/>
      <c r="H17" s="26"/>
      <c r="I17" s="69">
        <v>46093.0</v>
      </c>
      <c r="J17" s="70">
        <v>3.0</v>
      </c>
      <c r="K17" s="52">
        <f t="shared" si="3"/>
        <v>79.53846154</v>
      </c>
      <c r="L17" s="26">
        <f t="shared" si="2"/>
        <v>104.31</v>
      </c>
      <c r="M17" s="52">
        <f t="shared" si="4"/>
        <v>0.7857142857</v>
      </c>
      <c r="N17" s="71">
        <v>2.66</v>
      </c>
      <c r="O17" s="52">
        <f t="shared" si="5"/>
        <v>0.7857142857</v>
      </c>
      <c r="P17" s="71">
        <v>0.58</v>
      </c>
      <c r="Q17" s="52">
        <f t="shared" si="6"/>
        <v>7.857142857</v>
      </c>
      <c r="R17" s="71">
        <v>6.41</v>
      </c>
      <c r="S17" s="52">
        <f t="shared" si="7"/>
        <v>24.35714286</v>
      </c>
      <c r="T17" s="71">
        <v>11.5</v>
      </c>
      <c r="U17" s="52">
        <f t="shared" si="8"/>
        <v>19.64285714</v>
      </c>
      <c r="V17" s="71">
        <v>12.0</v>
      </c>
      <c r="W17" s="52">
        <f t="shared" si="9"/>
        <v>15.71428571</v>
      </c>
      <c r="X17" s="71">
        <v>56.66</v>
      </c>
      <c r="Y17" s="52">
        <f t="shared" si="10"/>
        <v>4.714285714</v>
      </c>
      <c r="Z17" s="71">
        <v>14.5</v>
      </c>
    </row>
    <row r="18" ht="16.5" customHeight="1">
      <c r="A18" s="26"/>
      <c r="B18" s="26"/>
      <c r="C18" s="61" t="s">
        <v>169</v>
      </c>
      <c r="D18" s="28"/>
      <c r="E18" s="28"/>
      <c r="F18" s="28"/>
      <c r="G18" s="29"/>
      <c r="H18" s="26"/>
      <c r="I18" s="69">
        <v>46094.0</v>
      </c>
      <c r="J18" s="70">
        <v>4.0</v>
      </c>
      <c r="K18" s="52">
        <f t="shared" si="3"/>
        <v>72.30769231</v>
      </c>
      <c r="L18" s="26">
        <f t="shared" si="2"/>
        <v>101.98</v>
      </c>
      <c r="M18" s="52">
        <f t="shared" si="4"/>
        <v>0.7142857143</v>
      </c>
      <c r="N18" s="71">
        <v>1.91</v>
      </c>
      <c r="O18" s="52">
        <f t="shared" si="5"/>
        <v>0.7142857143</v>
      </c>
      <c r="P18" s="71">
        <v>0.0</v>
      </c>
      <c r="Q18" s="52">
        <f t="shared" si="6"/>
        <v>7.142857143</v>
      </c>
      <c r="R18" s="71">
        <v>6.41</v>
      </c>
      <c r="S18" s="52">
        <f t="shared" si="7"/>
        <v>22.14285714</v>
      </c>
      <c r="T18" s="71">
        <v>10.5</v>
      </c>
      <c r="U18" s="52">
        <f t="shared" si="8"/>
        <v>17.85714286</v>
      </c>
      <c r="V18" s="71">
        <v>12.0</v>
      </c>
      <c r="W18" s="52">
        <f t="shared" si="9"/>
        <v>14.28571429</v>
      </c>
      <c r="X18" s="71">
        <v>56.66</v>
      </c>
      <c r="Y18" s="52">
        <f t="shared" si="10"/>
        <v>4.285714286</v>
      </c>
      <c r="Z18" s="71">
        <v>14.5</v>
      </c>
    </row>
    <row r="19" ht="16.5" customHeight="1">
      <c r="A19" s="26"/>
      <c r="B19" s="26"/>
      <c r="C19" s="30" t="s">
        <v>40</v>
      </c>
      <c r="D19" s="30" t="s">
        <v>41</v>
      </c>
      <c r="E19" s="30" t="s">
        <v>42</v>
      </c>
      <c r="F19" s="30" t="s">
        <v>43</v>
      </c>
      <c r="G19" s="30" t="s">
        <v>44</v>
      </c>
      <c r="H19" s="26"/>
      <c r="I19" s="69">
        <v>46095.0</v>
      </c>
      <c r="J19" s="70">
        <v>5.0</v>
      </c>
      <c r="K19" s="52">
        <f t="shared" si="3"/>
        <v>65.07692308</v>
      </c>
      <c r="L19" s="26">
        <f t="shared" si="2"/>
        <v>97.48</v>
      </c>
      <c r="M19" s="52">
        <f t="shared" si="4"/>
        <v>0.6428571429</v>
      </c>
      <c r="N19" s="71">
        <v>1.91</v>
      </c>
      <c r="O19" s="52">
        <f t="shared" si="5"/>
        <v>0.6428571429</v>
      </c>
      <c r="P19" s="71">
        <v>0.0</v>
      </c>
      <c r="Q19" s="52">
        <f t="shared" si="6"/>
        <v>6.428571429</v>
      </c>
      <c r="R19" s="71">
        <v>4.41</v>
      </c>
      <c r="S19" s="52">
        <f t="shared" si="7"/>
        <v>19.92857143</v>
      </c>
      <c r="T19" s="71">
        <v>8.5</v>
      </c>
      <c r="U19" s="52">
        <f t="shared" si="8"/>
        <v>16.07142857</v>
      </c>
      <c r="V19" s="71">
        <v>12.0</v>
      </c>
      <c r="W19" s="52">
        <f t="shared" si="9"/>
        <v>12.85714286</v>
      </c>
      <c r="X19" s="71">
        <v>56.16</v>
      </c>
      <c r="Y19" s="52">
        <f t="shared" si="10"/>
        <v>3.857142857</v>
      </c>
      <c r="Z19" s="71">
        <v>14.5</v>
      </c>
    </row>
    <row r="20" ht="16.5" customHeight="1">
      <c r="A20" s="26"/>
      <c r="B20" s="26"/>
      <c r="C20" s="62" t="s">
        <v>170</v>
      </c>
      <c r="D20" s="62" t="s">
        <v>51</v>
      </c>
      <c r="E20" s="62" t="s">
        <v>56</v>
      </c>
      <c r="F20" s="63">
        <v>0.75</v>
      </c>
      <c r="G20" s="63">
        <v>1.0</v>
      </c>
      <c r="H20" s="26"/>
      <c r="I20" s="69">
        <v>46096.0</v>
      </c>
      <c r="J20" s="70">
        <v>6.0</v>
      </c>
      <c r="K20" s="52">
        <f t="shared" si="3"/>
        <v>57.84615385</v>
      </c>
      <c r="L20" s="26">
        <f t="shared" si="2"/>
        <v>86.57</v>
      </c>
      <c r="M20" s="52">
        <f t="shared" si="4"/>
        <v>0.5714285714</v>
      </c>
      <c r="N20" s="71">
        <v>0.0</v>
      </c>
      <c r="O20" s="52">
        <f t="shared" si="5"/>
        <v>0.5714285714</v>
      </c>
      <c r="P20" s="71">
        <v>0.0</v>
      </c>
      <c r="Q20" s="52">
        <f t="shared" si="6"/>
        <v>5.714285714</v>
      </c>
      <c r="R20" s="71">
        <v>2.91</v>
      </c>
      <c r="S20" s="52">
        <f t="shared" si="7"/>
        <v>17.71428571</v>
      </c>
      <c r="T20" s="71">
        <v>5.5</v>
      </c>
      <c r="U20" s="52">
        <f t="shared" si="8"/>
        <v>14.28571429</v>
      </c>
      <c r="V20" s="71">
        <v>7.5</v>
      </c>
      <c r="W20" s="52">
        <f t="shared" si="9"/>
        <v>11.42857143</v>
      </c>
      <c r="X20" s="71">
        <v>56.16</v>
      </c>
      <c r="Y20" s="52">
        <f t="shared" si="10"/>
        <v>3.428571429</v>
      </c>
      <c r="Z20" s="71">
        <v>14.5</v>
      </c>
    </row>
    <row r="21" ht="15.75" customHeight="1">
      <c r="A21" s="26"/>
      <c r="B21" s="26"/>
      <c r="C21" s="62" t="s">
        <v>171</v>
      </c>
      <c r="D21" s="62" t="s">
        <v>56</v>
      </c>
      <c r="E21" s="62" t="s">
        <v>172</v>
      </c>
      <c r="F21" s="63">
        <v>1.0</v>
      </c>
      <c r="G21" s="63">
        <v>2.0</v>
      </c>
      <c r="H21" s="26"/>
      <c r="I21" s="69">
        <v>46097.0</v>
      </c>
      <c r="J21" s="70">
        <v>7.0</v>
      </c>
      <c r="K21" s="52">
        <f t="shared" si="3"/>
        <v>50.61538462</v>
      </c>
      <c r="L21" s="26">
        <f t="shared" si="2"/>
        <v>74.24</v>
      </c>
      <c r="M21" s="52">
        <f t="shared" si="4"/>
        <v>0.5</v>
      </c>
      <c r="N21" s="71">
        <v>0.0</v>
      </c>
      <c r="O21" s="52">
        <f t="shared" si="5"/>
        <v>0.5</v>
      </c>
      <c r="P21" s="71">
        <v>0.0</v>
      </c>
      <c r="Q21" s="52">
        <f t="shared" si="6"/>
        <v>5</v>
      </c>
      <c r="R21" s="71">
        <v>1.58</v>
      </c>
      <c r="S21" s="52">
        <f t="shared" si="7"/>
        <v>15.5</v>
      </c>
      <c r="T21" s="71">
        <v>2.5</v>
      </c>
      <c r="U21" s="52">
        <f t="shared" si="8"/>
        <v>12.5</v>
      </c>
      <c r="V21" s="71">
        <v>2.0</v>
      </c>
      <c r="W21" s="52">
        <f t="shared" si="9"/>
        <v>10</v>
      </c>
      <c r="X21" s="71">
        <v>53.66</v>
      </c>
      <c r="Y21" s="52">
        <f t="shared" si="10"/>
        <v>3</v>
      </c>
      <c r="Z21" s="71">
        <v>14.5</v>
      </c>
    </row>
    <row r="22" ht="15.75" customHeight="1">
      <c r="A22" s="26"/>
      <c r="B22" s="26"/>
      <c r="C22" s="62" t="s">
        <v>173</v>
      </c>
      <c r="D22" s="62" t="s">
        <v>63</v>
      </c>
      <c r="E22" s="62" t="s">
        <v>174</v>
      </c>
      <c r="F22" s="63">
        <v>1.5</v>
      </c>
      <c r="G22" s="63">
        <v>2.0</v>
      </c>
      <c r="H22" s="41"/>
      <c r="I22" s="69">
        <v>46098.0</v>
      </c>
      <c r="J22" s="70">
        <v>8.0</v>
      </c>
      <c r="K22" s="52">
        <f t="shared" si="3"/>
        <v>43.38461538</v>
      </c>
      <c r="L22" s="26">
        <f t="shared" si="2"/>
        <v>71.58</v>
      </c>
      <c r="M22" s="52">
        <f t="shared" si="4"/>
        <v>0.4285714286</v>
      </c>
      <c r="N22" s="71">
        <v>0.0</v>
      </c>
      <c r="O22" s="52">
        <f t="shared" si="5"/>
        <v>0.4285714286</v>
      </c>
      <c r="P22" s="71">
        <v>0.0</v>
      </c>
      <c r="Q22" s="52">
        <f t="shared" si="6"/>
        <v>4.285714286</v>
      </c>
      <c r="R22" s="71">
        <v>1.58</v>
      </c>
      <c r="S22" s="52">
        <f t="shared" si="7"/>
        <v>13.28571429</v>
      </c>
      <c r="T22" s="71">
        <v>2.5</v>
      </c>
      <c r="U22" s="52">
        <f t="shared" si="8"/>
        <v>10.71428571</v>
      </c>
      <c r="V22" s="71">
        <v>2.0</v>
      </c>
      <c r="W22" s="52">
        <f t="shared" si="9"/>
        <v>8.571428571</v>
      </c>
      <c r="X22" s="71">
        <v>51.0</v>
      </c>
      <c r="Y22" s="52">
        <f t="shared" si="10"/>
        <v>2.571428571</v>
      </c>
      <c r="Z22" s="71">
        <v>14.5</v>
      </c>
    </row>
    <row r="23" ht="15.75" customHeight="1">
      <c r="A23" s="10"/>
      <c r="B23" s="26"/>
      <c r="C23" s="62" t="s">
        <v>175</v>
      </c>
      <c r="D23" s="62" t="s">
        <v>47</v>
      </c>
      <c r="E23" s="62" t="s">
        <v>132</v>
      </c>
      <c r="F23" s="63">
        <v>1.33</v>
      </c>
      <c r="G23" s="63">
        <v>2.0</v>
      </c>
      <c r="H23" s="41"/>
      <c r="I23" s="69">
        <v>46099.0</v>
      </c>
      <c r="J23" s="70">
        <v>9.0</v>
      </c>
      <c r="K23" s="52">
        <f t="shared" si="3"/>
        <v>36.15384615</v>
      </c>
      <c r="L23" s="26">
        <f t="shared" si="2"/>
        <v>53.58</v>
      </c>
      <c r="M23" s="52">
        <f t="shared" si="4"/>
        <v>0.3571428571</v>
      </c>
      <c r="N23" s="71">
        <v>0.0</v>
      </c>
      <c r="O23" s="52">
        <f t="shared" si="5"/>
        <v>0.3571428571</v>
      </c>
      <c r="P23" s="71">
        <v>0.0</v>
      </c>
      <c r="Q23" s="52">
        <f t="shared" si="6"/>
        <v>3.571428571</v>
      </c>
      <c r="R23" s="71">
        <v>1.58</v>
      </c>
      <c r="S23" s="52">
        <f t="shared" si="7"/>
        <v>11.07142857</v>
      </c>
      <c r="T23" s="71">
        <v>2.5</v>
      </c>
      <c r="U23" s="52">
        <f t="shared" si="8"/>
        <v>8.928571429</v>
      </c>
      <c r="V23" s="71">
        <v>2.0</v>
      </c>
      <c r="W23" s="52">
        <f t="shared" si="9"/>
        <v>7.142857143</v>
      </c>
      <c r="X23" s="71">
        <v>39.5</v>
      </c>
      <c r="Y23" s="52">
        <f t="shared" si="10"/>
        <v>2.142857143</v>
      </c>
      <c r="Z23" s="71">
        <v>8.0</v>
      </c>
    </row>
    <row r="24" ht="15.75" customHeight="1">
      <c r="A24" s="10"/>
      <c r="B24" s="26"/>
      <c r="C24" s="62" t="s">
        <v>176</v>
      </c>
      <c r="D24" s="62" t="s">
        <v>132</v>
      </c>
      <c r="E24" s="62" t="s">
        <v>63</v>
      </c>
      <c r="F24" s="63">
        <v>1.0</v>
      </c>
      <c r="G24" s="63">
        <v>1.5</v>
      </c>
      <c r="H24" s="41"/>
      <c r="I24" s="69">
        <v>46100.0</v>
      </c>
      <c r="J24" s="70">
        <v>10.0</v>
      </c>
      <c r="K24" s="52">
        <f t="shared" si="3"/>
        <v>28.92307692</v>
      </c>
      <c r="L24" s="26">
        <f t="shared" si="2"/>
        <v>47.08</v>
      </c>
      <c r="M24" s="52">
        <f t="shared" si="4"/>
        <v>0.2857142857</v>
      </c>
      <c r="N24" s="71">
        <v>0.0</v>
      </c>
      <c r="O24" s="52">
        <f t="shared" si="5"/>
        <v>0.2857142857</v>
      </c>
      <c r="P24" s="71">
        <v>0.0</v>
      </c>
      <c r="Q24" s="52">
        <f t="shared" si="6"/>
        <v>2.857142857</v>
      </c>
      <c r="R24" s="71">
        <v>1.33</v>
      </c>
      <c r="S24" s="52">
        <f t="shared" si="7"/>
        <v>8.857142857</v>
      </c>
      <c r="T24" s="71">
        <v>2.5</v>
      </c>
      <c r="U24" s="52">
        <f t="shared" si="8"/>
        <v>7.142857143</v>
      </c>
      <c r="V24" s="71">
        <v>2.0</v>
      </c>
      <c r="W24" s="52">
        <f t="shared" si="9"/>
        <v>5.714285714</v>
      </c>
      <c r="X24" s="71">
        <v>33.25</v>
      </c>
      <c r="Y24" s="52">
        <f t="shared" si="10"/>
        <v>1.714285714</v>
      </c>
      <c r="Z24" s="71">
        <v>8.0</v>
      </c>
    </row>
    <row r="25" ht="15.75" customHeight="1">
      <c r="A25" s="54"/>
      <c r="B25" s="26"/>
      <c r="C25" s="62" t="s">
        <v>177</v>
      </c>
      <c r="D25" s="62" t="s">
        <v>51</v>
      </c>
      <c r="E25" s="62" t="s">
        <v>56</v>
      </c>
      <c r="F25" s="63">
        <v>0.25</v>
      </c>
      <c r="G25" s="63">
        <v>0.5</v>
      </c>
      <c r="H25" s="41"/>
      <c r="I25" s="69">
        <v>46101.0</v>
      </c>
      <c r="J25" s="70">
        <v>11.0</v>
      </c>
      <c r="K25" s="52">
        <f t="shared" si="3"/>
        <v>21.69230769</v>
      </c>
      <c r="L25" s="26">
        <f t="shared" si="2"/>
        <v>37.08</v>
      </c>
      <c r="M25" s="52">
        <f t="shared" si="4"/>
        <v>0.2142857143</v>
      </c>
      <c r="N25" s="71">
        <v>0.0</v>
      </c>
      <c r="O25" s="52">
        <f t="shared" si="5"/>
        <v>0.2142857143</v>
      </c>
      <c r="P25" s="71">
        <v>0.0</v>
      </c>
      <c r="Q25" s="52">
        <f t="shared" si="6"/>
        <v>2.142857143</v>
      </c>
      <c r="R25" s="71">
        <v>1.33</v>
      </c>
      <c r="S25" s="52">
        <f t="shared" si="7"/>
        <v>6.642857143</v>
      </c>
      <c r="T25" s="71">
        <v>2.5</v>
      </c>
      <c r="U25" s="52">
        <f t="shared" si="8"/>
        <v>5.357142857</v>
      </c>
      <c r="V25" s="71">
        <v>2.0</v>
      </c>
      <c r="W25" s="52">
        <f t="shared" si="9"/>
        <v>4.285714286</v>
      </c>
      <c r="X25" s="71">
        <v>23.25</v>
      </c>
      <c r="Y25" s="52">
        <f t="shared" si="10"/>
        <v>1.285714286</v>
      </c>
      <c r="Z25" s="71">
        <v>8.0</v>
      </c>
    </row>
    <row r="26" ht="15.75" customHeight="1">
      <c r="A26" s="54"/>
      <c r="B26" s="26"/>
      <c r="C26" s="62" t="s">
        <v>178</v>
      </c>
      <c r="D26" s="62" t="s">
        <v>51</v>
      </c>
      <c r="E26" s="62" t="s">
        <v>56</v>
      </c>
      <c r="F26" s="63">
        <v>0.25</v>
      </c>
      <c r="G26" s="63">
        <v>0.5</v>
      </c>
      <c r="H26" s="41"/>
      <c r="I26" s="69">
        <v>46102.0</v>
      </c>
      <c r="J26" s="70">
        <v>12.0</v>
      </c>
      <c r="K26" s="52">
        <f t="shared" si="3"/>
        <v>14.46153846</v>
      </c>
      <c r="L26" s="26">
        <f t="shared" si="2"/>
        <v>30.75</v>
      </c>
      <c r="M26" s="52">
        <f t="shared" si="4"/>
        <v>0.1428571429</v>
      </c>
      <c r="N26" s="71">
        <v>0.0</v>
      </c>
      <c r="O26" s="52">
        <f t="shared" si="5"/>
        <v>0.1428571429</v>
      </c>
      <c r="P26" s="71">
        <v>0.0</v>
      </c>
      <c r="Q26" s="52">
        <f t="shared" si="6"/>
        <v>1.428571429</v>
      </c>
      <c r="R26" s="71">
        <v>0.0</v>
      </c>
      <c r="S26" s="52">
        <f t="shared" si="7"/>
        <v>4.428571429</v>
      </c>
      <c r="T26" s="71">
        <v>2.5</v>
      </c>
      <c r="U26" s="52">
        <f t="shared" si="8"/>
        <v>3.571428571</v>
      </c>
      <c r="V26" s="71">
        <v>2.0</v>
      </c>
      <c r="W26" s="52">
        <f t="shared" si="9"/>
        <v>2.857142857</v>
      </c>
      <c r="X26" s="71">
        <v>18.25</v>
      </c>
      <c r="Y26" s="52">
        <f t="shared" si="10"/>
        <v>0.8571428571</v>
      </c>
      <c r="Z26" s="71">
        <v>8.0</v>
      </c>
    </row>
    <row r="27" ht="15.75" customHeight="1">
      <c r="A27" s="1"/>
      <c r="B27" s="26"/>
      <c r="C27" s="62" t="s">
        <v>179</v>
      </c>
      <c r="D27" s="62" t="s">
        <v>174</v>
      </c>
      <c r="E27" s="62" t="s">
        <v>56</v>
      </c>
      <c r="F27" s="63">
        <v>0.33</v>
      </c>
      <c r="G27" s="63">
        <v>0.5</v>
      </c>
      <c r="H27" s="41"/>
      <c r="I27" s="69">
        <v>46103.0</v>
      </c>
      <c r="J27" s="70">
        <v>13.0</v>
      </c>
      <c r="K27" s="52">
        <f t="shared" si="3"/>
        <v>7.230769231</v>
      </c>
      <c r="L27" s="26">
        <f t="shared" si="2"/>
        <v>24.25</v>
      </c>
      <c r="M27" s="52">
        <f t="shared" si="4"/>
        <v>0.07142857143</v>
      </c>
      <c r="N27" s="71">
        <v>0.0</v>
      </c>
      <c r="O27" s="52">
        <f t="shared" si="5"/>
        <v>0.07142857143</v>
      </c>
      <c r="P27" s="71">
        <v>0.0</v>
      </c>
      <c r="Q27" s="52">
        <f t="shared" si="6"/>
        <v>0.7142857143</v>
      </c>
      <c r="R27" s="71">
        <v>0.0</v>
      </c>
      <c r="S27" s="52">
        <f t="shared" si="7"/>
        <v>2.214285714</v>
      </c>
      <c r="T27" s="71">
        <v>2.5</v>
      </c>
      <c r="U27" s="52">
        <f t="shared" si="8"/>
        <v>1.785714286</v>
      </c>
      <c r="V27" s="71">
        <v>2.0</v>
      </c>
      <c r="W27" s="52">
        <f t="shared" si="9"/>
        <v>1.428571429</v>
      </c>
      <c r="X27" s="71">
        <v>11.75</v>
      </c>
      <c r="Y27" s="52">
        <f t="shared" si="10"/>
        <v>0.4285714286</v>
      </c>
      <c r="Z27" s="71">
        <v>8.0</v>
      </c>
    </row>
    <row r="28" ht="15.75" customHeight="1">
      <c r="A28" s="26"/>
      <c r="B28" s="26"/>
      <c r="C28" s="38" t="s">
        <v>38</v>
      </c>
      <c r="D28" s="38"/>
      <c r="E28" s="38"/>
      <c r="F28" s="40">
        <f t="shared" ref="F28:G28" si="11">SUM(F20:F27)</f>
        <v>6.41</v>
      </c>
      <c r="G28" s="40">
        <f t="shared" si="11"/>
        <v>10</v>
      </c>
      <c r="H28" s="41"/>
      <c r="I28" s="69">
        <v>46104.0</v>
      </c>
      <c r="J28" s="70">
        <v>14.0</v>
      </c>
      <c r="K28" s="52">
        <f t="shared" si="3"/>
        <v>0</v>
      </c>
      <c r="L28" s="26">
        <f t="shared" si="2"/>
        <v>2.5</v>
      </c>
      <c r="M28" s="52">
        <f t="shared" si="4"/>
        <v>0</v>
      </c>
      <c r="N28" s="71">
        <v>0.0</v>
      </c>
      <c r="O28" s="52">
        <f t="shared" si="5"/>
        <v>0</v>
      </c>
      <c r="P28" s="71">
        <v>0.0</v>
      </c>
      <c r="Q28" s="52">
        <f t="shared" si="6"/>
        <v>0</v>
      </c>
      <c r="R28" s="71">
        <v>0.0</v>
      </c>
      <c r="S28" s="52">
        <f t="shared" si="7"/>
        <v>0</v>
      </c>
      <c r="T28" s="71">
        <v>0.0</v>
      </c>
      <c r="U28" s="52">
        <f t="shared" si="8"/>
        <v>0</v>
      </c>
      <c r="V28" s="71">
        <v>0.0</v>
      </c>
      <c r="W28" s="52">
        <f t="shared" si="9"/>
        <v>0</v>
      </c>
      <c r="X28" s="71">
        <v>2.5</v>
      </c>
      <c r="Y28" s="52">
        <f t="shared" si="10"/>
        <v>0</v>
      </c>
      <c r="Z28" s="71">
        <v>0.0</v>
      </c>
    </row>
    <row r="29" ht="15.75" customHeight="1">
      <c r="A29" s="26"/>
      <c r="B29" s="26"/>
      <c r="C29" s="34"/>
      <c r="D29" s="34"/>
      <c r="E29" s="34"/>
      <c r="F29" s="35"/>
      <c r="G29" s="35"/>
      <c r="H29" s="26"/>
      <c r="I29" s="72"/>
      <c r="J29" s="70"/>
      <c r="K29" s="26"/>
      <c r="L29" s="26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26"/>
      <c r="Z29" s="26"/>
    </row>
    <row r="30" ht="15.75" customHeight="1">
      <c r="A30" s="26"/>
      <c r="B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41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5.75" customHeight="1">
      <c r="A33" s="26"/>
      <c r="B33" s="26"/>
      <c r="C33" s="61" t="s">
        <v>180</v>
      </c>
      <c r="D33" s="28"/>
      <c r="E33" s="28"/>
      <c r="F33" s="28"/>
      <c r="G33" s="29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5.75" customHeight="1">
      <c r="A34" s="26"/>
      <c r="B34" s="26"/>
      <c r="C34" s="30" t="s">
        <v>40</v>
      </c>
      <c r="D34" s="30" t="s">
        <v>41</v>
      </c>
      <c r="E34" s="30" t="s">
        <v>42</v>
      </c>
      <c r="F34" s="30" t="s">
        <v>43</v>
      </c>
      <c r="G34" s="30" t="s">
        <v>44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75" customHeight="1">
      <c r="A35" s="26"/>
      <c r="B35" s="26"/>
      <c r="C35" s="62" t="s">
        <v>181</v>
      </c>
      <c r="D35" s="62" t="s">
        <v>51</v>
      </c>
      <c r="E35" s="62" t="s">
        <v>56</v>
      </c>
      <c r="F35" s="63">
        <v>1.0</v>
      </c>
      <c r="G35" s="63">
        <v>4.0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75" customHeight="1">
      <c r="A36" s="26"/>
      <c r="B36" s="26"/>
      <c r="C36" s="62" t="s">
        <v>182</v>
      </c>
      <c r="D36" s="62" t="s">
        <v>52</v>
      </c>
      <c r="E36" s="62" t="s">
        <v>48</v>
      </c>
      <c r="F36" s="63">
        <v>2.0</v>
      </c>
      <c r="G36" s="63">
        <v>8.0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5.75" customHeight="1">
      <c r="A37" s="1"/>
      <c r="B37" s="68"/>
      <c r="C37" s="62" t="s">
        <v>183</v>
      </c>
      <c r="D37" s="62" t="s">
        <v>52</v>
      </c>
      <c r="E37" s="62" t="s">
        <v>48</v>
      </c>
      <c r="F37" s="63">
        <v>2.0</v>
      </c>
      <c r="G37" s="63">
        <v>4.0</v>
      </c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26"/>
      <c r="B38" s="26"/>
      <c r="C38" s="62" t="s">
        <v>184</v>
      </c>
      <c r="D38" s="62" t="s">
        <v>51</v>
      </c>
      <c r="E38" s="62" t="s">
        <v>56</v>
      </c>
      <c r="F38" s="63">
        <v>0.5</v>
      </c>
      <c r="G38" s="63">
        <v>2.0</v>
      </c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26"/>
      <c r="B39" s="26"/>
      <c r="C39" s="62" t="s">
        <v>185</v>
      </c>
      <c r="D39" s="62" t="s">
        <v>56</v>
      </c>
      <c r="E39" s="62" t="s">
        <v>51</v>
      </c>
      <c r="F39" s="63">
        <v>1.5</v>
      </c>
      <c r="G39" s="63">
        <v>4.0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26"/>
      <c r="B40" s="26"/>
      <c r="C40" s="62" t="s">
        <v>186</v>
      </c>
      <c r="D40" s="62" t="s">
        <v>51</v>
      </c>
      <c r="E40" s="62" t="s">
        <v>56</v>
      </c>
      <c r="F40" s="63">
        <v>1.0</v>
      </c>
      <c r="G40" s="63">
        <v>1.0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26"/>
      <c r="B41" s="26"/>
      <c r="C41" s="62" t="s">
        <v>187</v>
      </c>
      <c r="D41" s="62" t="s">
        <v>56</v>
      </c>
      <c r="E41" s="62" t="s">
        <v>51</v>
      </c>
      <c r="F41" s="63">
        <v>1.0</v>
      </c>
      <c r="G41" s="63">
        <v>1.5</v>
      </c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75" customHeight="1">
      <c r="A42" s="26"/>
      <c r="B42" s="26"/>
      <c r="C42" s="62" t="s">
        <v>188</v>
      </c>
      <c r="D42" s="62" t="s">
        <v>47</v>
      </c>
      <c r="E42" s="62" t="s">
        <v>51</v>
      </c>
      <c r="F42" s="63">
        <v>1.0</v>
      </c>
      <c r="G42" s="63">
        <v>2.0</v>
      </c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75" customHeight="1">
      <c r="A43" s="26"/>
      <c r="B43" s="26"/>
      <c r="C43" s="62" t="s">
        <v>189</v>
      </c>
      <c r="D43" s="62" t="s">
        <v>47</v>
      </c>
      <c r="E43" s="62" t="s">
        <v>51</v>
      </c>
      <c r="F43" s="63">
        <v>0.25</v>
      </c>
      <c r="G43" s="63">
        <v>2.0</v>
      </c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75" customHeight="1">
      <c r="A44" s="26"/>
      <c r="B44" s="26"/>
      <c r="C44" s="62" t="s">
        <v>190</v>
      </c>
      <c r="D44" s="62" t="s">
        <v>174</v>
      </c>
      <c r="E44" s="62" t="s">
        <v>56</v>
      </c>
      <c r="F44" s="63">
        <v>1.0</v>
      </c>
      <c r="G44" s="63">
        <v>0.5</v>
      </c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75" customHeight="1">
      <c r="A45" s="26"/>
      <c r="B45" s="26"/>
      <c r="C45" s="62" t="s">
        <v>191</v>
      </c>
      <c r="D45" s="62" t="s">
        <v>51</v>
      </c>
      <c r="E45" s="62" t="s">
        <v>47</v>
      </c>
      <c r="F45" s="63">
        <v>0.25</v>
      </c>
      <c r="G45" s="63">
        <v>2.0</v>
      </c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5.75" customHeight="1">
      <c r="A46" s="26"/>
      <c r="B46" s="26"/>
      <c r="C46" s="38" t="s">
        <v>38</v>
      </c>
      <c r="D46" s="38"/>
      <c r="E46" s="38"/>
      <c r="F46" s="40">
        <f t="shared" ref="F46:G46" si="12">SUM(F35:F45)</f>
        <v>11.5</v>
      </c>
      <c r="G46" s="40">
        <f t="shared" si="12"/>
        <v>31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75" customHeight="1">
      <c r="A48" s="26"/>
      <c r="B48" s="26"/>
      <c r="C48" s="61" t="s">
        <v>166</v>
      </c>
      <c r="D48" s="28"/>
      <c r="E48" s="28"/>
      <c r="F48" s="28"/>
      <c r="G48" s="29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75" customHeight="1">
      <c r="A49" s="26"/>
      <c r="B49" s="26"/>
      <c r="C49" s="30" t="s">
        <v>40</v>
      </c>
      <c r="D49" s="30" t="s">
        <v>41</v>
      </c>
      <c r="E49" s="30" t="s">
        <v>42</v>
      </c>
      <c r="F49" s="30" t="s">
        <v>43</v>
      </c>
      <c r="G49" s="30" t="s">
        <v>44</v>
      </c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75" customHeight="1">
      <c r="A50" s="26"/>
      <c r="B50" s="26"/>
      <c r="C50" s="62" t="s">
        <v>192</v>
      </c>
      <c r="D50" s="62" t="s">
        <v>174</v>
      </c>
      <c r="E50" s="62" t="s">
        <v>63</v>
      </c>
      <c r="F50" s="63">
        <v>0.5</v>
      </c>
      <c r="G50" s="63">
        <v>2.0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8.0" customHeight="1">
      <c r="A51" s="1"/>
      <c r="B51" s="68"/>
      <c r="C51" s="62" t="s">
        <v>193</v>
      </c>
      <c r="D51" s="62" t="s">
        <v>64</v>
      </c>
      <c r="E51" s="62" t="s">
        <v>194</v>
      </c>
      <c r="F51" s="63">
        <v>4.0</v>
      </c>
      <c r="G51" s="63">
        <v>8.0</v>
      </c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75" customHeight="1">
      <c r="A52" s="26"/>
      <c r="B52" s="26"/>
      <c r="C52" s="62" t="s">
        <v>195</v>
      </c>
      <c r="D52" s="62" t="s">
        <v>64</v>
      </c>
      <c r="E52" s="62" t="s">
        <v>194</v>
      </c>
      <c r="F52" s="63">
        <v>2.5</v>
      </c>
      <c r="G52" s="63">
        <v>6.0</v>
      </c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75" customHeight="1">
      <c r="A53" s="26"/>
      <c r="B53" s="26"/>
      <c r="C53" s="62" t="s">
        <v>196</v>
      </c>
      <c r="D53" s="62" t="s">
        <v>63</v>
      </c>
      <c r="E53" s="62" t="s">
        <v>64</v>
      </c>
      <c r="F53" s="63">
        <v>3.0</v>
      </c>
      <c r="G53" s="63">
        <v>6.0</v>
      </c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5.75" customHeight="1">
      <c r="A54" s="26"/>
      <c r="B54" s="26"/>
      <c r="C54" s="62" t="s">
        <v>197</v>
      </c>
      <c r="D54" s="62" t="s">
        <v>63</v>
      </c>
      <c r="E54" s="62" t="s">
        <v>64</v>
      </c>
      <c r="F54" s="63">
        <v>2.0</v>
      </c>
      <c r="G54" s="63">
        <v>3.0</v>
      </c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26"/>
      <c r="B55" s="26"/>
      <c r="C55" s="38" t="s">
        <v>38</v>
      </c>
      <c r="D55" s="38"/>
      <c r="E55" s="38"/>
      <c r="F55" s="40">
        <f t="shared" ref="F55:G55" si="13">SUM(F50:F54)</f>
        <v>12</v>
      </c>
      <c r="G55" s="40">
        <f t="shared" si="13"/>
        <v>25</v>
      </c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75" customHeight="1">
      <c r="A56" s="26"/>
      <c r="B56" s="26"/>
      <c r="C56" s="62"/>
      <c r="D56" s="34"/>
      <c r="E56" s="34"/>
      <c r="F56" s="35"/>
      <c r="G56" s="63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8.0" customHeight="1">
      <c r="A57" s="26"/>
      <c r="B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75" customHeight="1">
      <c r="A58" s="26"/>
      <c r="B58" s="26"/>
      <c r="C58" s="34"/>
      <c r="D58" s="34"/>
      <c r="E58" s="34"/>
      <c r="F58" s="35"/>
      <c r="G58" s="35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5.75" customHeight="1">
      <c r="A59" s="26"/>
      <c r="B59" s="26"/>
      <c r="C59" s="34"/>
      <c r="D59" s="34"/>
      <c r="E59" s="34"/>
      <c r="F59" s="35"/>
      <c r="G59" s="35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5.75" customHeight="1">
      <c r="A60" s="26"/>
      <c r="B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8.0" customHeight="1">
      <c r="A63" s="1"/>
      <c r="B63" s="68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5.75" customHeight="1">
      <c r="A65" s="26"/>
      <c r="B65" s="26"/>
      <c r="C65" s="61" t="s">
        <v>167</v>
      </c>
      <c r="D65" s="28"/>
      <c r="E65" s="28"/>
      <c r="F65" s="28"/>
      <c r="G65" s="29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5.75" customHeight="1">
      <c r="A66" s="26"/>
      <c r="B66" s="26"/>
      <c r="C66" s="30" t="s">
        <v>40</v>
      </c>
      <c r="D66" s="30" t="s">
        <v>41</v>
      </c>
      <c r="E66" s="30" t="s">
        <v>42</v>
      </c>
      <c r="F66" s="30" t="s">
        <v>43</v>
      </c>
      <c r="G66" s="30" t="s">
        <v>44</v>
      </c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8.0" customHeight="1">
      <c r="A67" s="26"/>
      <c r="B67" s="26"/>
      <c r="C67" s="62" t="s">
        <v>198</v>
      </c>
      <c r="D67" s="62" t="s">
        <v>64</v>
      </c>
      <c r="E67" s="62" t="s">
        <v>194</v>
      </c>
      <c r="F67" s="63">
        <v>0.5</v>
      </c>
      <c r="G67" s="63">
        <v>0.25</v>
      </c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5.75" customHeight="1">
      <c r="A68" s="26"/>
      <c r="B68" s="26"/>
      <c r="C68" s="62" t="s">
        <v>199</v>
      </c>
      <c r="D68" s="62" t="s">
        <v>64</v>
      </c>
      <c r="E68" s="62" t="s">
        <v>194</v>
      </c>
      <c r="F68" s="63">
        <v>3.0</v>
      </c>
      <c r="G68" s="63">
        <v>1.0</v>
      </c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5.75" customHeight="1">
      <c r="A69" s="26"/>
      <c r="B69" s="26"/>
      <c r="C69" s="62" t="s">
        <v>200</v>
      </c>
      <c r="D69" s="62" t="s">
        <v>63</v>
      </c>
      <c r="E69" s="62" t="s">
        <v>132</v>
      </c>
      <c r="F69" s="63">
        <v>4.0</v>
      </c>
      <c r="G69" s="63">
        <v>1.0</v>
      </c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5.75" customHeight="1">
      <c r="A70" s="26"/>
      <c r="B70" s="26"/>
      <c r="C70" s="62" t="s">
        <v>201</v>
      </c>
      <c r="D70" s="62" t="s">
        <v>194</v>
      </c>
      <c r="E70" s="62" t="s">
        <v>202</v>
      </c>
      <c r="F70" s="63">
        <v>4.0</v>
      </c>
      <c r="G70" s="63">
        <v>1.0</v>
      </c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5.75" customHeight="1">
      <c r="A71" s="26"/>
      <c r="B71" s="26"/>
      <c r="C71" s="62" t="s">
        <v>203</v>
      </c>
      <c r="D71" s="62" t="s">
        <v>63</v>
      </c>
      <c r="E71" s="62" t="s">
        <v>204</v>
      </c>
      <c r="F71" s="63">
        <v>2.0</v>
      </c>
      <c r="G71" s="63">
        <v>0.5</v>
      </c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5.75" customHeight="1">
      <c r="A72" s="26"/>
      <c r="B72" s="26"/>
      <c r="C72" s="62" t="s">
        <v>205</v>
      </c>
      <c r="D72" s="62" t="s">
        <v>48</v>
      </c>
      <c r="E72" s="62" t="s">
        <v>64</v>
      </c>
      <c r="F72" s="63">
        <v>2.0</v>
      </c>
      <c r="G72" s="63">
        <v>0.5</v>
      </c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5.75" customHeight="1">
      <c r="A73" s="26"/>
      <c r="B73" s="26"/>
      <c r="C73" s="62" t="s">
        <v>206</v>
      </c>
      <c r="D73" s="62" t="s">
        <v>132</v>
      </c>
      <c r="E73" s="62" t="s">
        <v>47</v>
      </c>
      <c r="F73" s="63">
        <v>2.66</v>
      </c>
      <c r="G73" s="63">
        <v>0.75</v>
      </c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8.0" customHeight="1">
      <c r="A74" s="1"/>
      <c r="B74" s="68"/>
      <c r="C74" s="62" t="s">
        <v>207</v>
      </c>
      <c r="D74" s="62" t="s">
        <v>194</v>
      </c>
      <c r="E74" s="62" t="s">
        <v>64</v>
      </c>
      <c r="F74" s="63">
        <v>0.25</v>
      </c>
      <c r="G74" s="63">
        <v>0.25</v>
      </c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5.75" customHeight="1">
      <c r="A75" s="26"/>
      <c r="B75" s="26"/>
      <c r="C75" s="62" t="s">
        <v>208</v>
      </c>
      <c r="D75" s="62" t="s">
        <v>194</v>
      </c>
      <c r="E75" s="62" t="s">
        <v>64</v>
      </c>
      <c r="F75" s="63">
        <v>2.25</v>
      </c>
      <c r="G75" s="63">
        <v>0.5</v>
      </c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5.75" customHeight="1">
      <c r="A76" s="26"/>
      <c r="B76" s="26"/>
      <c r="C76" s="62" t="s">
        <v>209</v>
      </c>
      <c r="D76" s="62" t="s">
        <v>194</v>
      </c>
      <c r="E76" s="62" t="s">
        <v>52</v>
      </c>
      <c r="F76" s="63">
        <v>4.0</v>
      </c>
      <c r="G76" s="63">
        <v>1.0</v>
      </c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75" customHeight="1">
      <c r="A77" s="26"/>
      <c r="B77" s="26"/>
      <c r="C77" s="62" t="s">
        <v>210</v>
      </c>
      <c r="D77" s="62" t="s">
        <v>211</v>
      </c>
      <c r="E77" s="62"/>
      <c r="F77" s="63">
        <v>0.0</v>
      </c>
      <c r="G77" s="63">
        <v>0.75</v>
      </c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75" customHeight="1">
      <c r="A78" s="26"/>
      <c r="B78" s="26"/>
      <c r="C78" s="62" t="s">
        <v>212</v>
      </c>
      <c r="D78" s="62" t="s">
        <v>52</v>
      </c>
      <c r="E78" s="62" t="s">
        <v>194</v>
      </c>
      <c r="F78" s="63">
        <v>2.0</v>
      </c>
      <c r="G78" s="63">
        <v>0.5</v>
      </c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5.75" customHeight="1">
      <c r="A79" s="26"/>
      <c r="B79" s="26"/>
      <c r="C79" s="62" t="s">
        <v>213</v>
      </c>
      <c r="D79" s="62" t="s">
        <v>194</v>
      </c>
      <c r="E79" s="62" t="s">
        <v>52</v>
      </c>
      <c r="F79" s="63">
        <v>2.0</v>
      </c>
      <c r="G79" s="63">
        <v>0.5</v>
      </c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5.75" customHeight="1">
      <c r="A80" s="26"/>
      <c r="B80" s="26"/>
      <c r="C80" s="62" t="s">
        <v>214</v>
      </c>
      <c r="D80" s="62" t="s">
        <v>194</v>
      </c>
      <c r="E80" s="62" t="s">
        <v>52</v>
      </c>
      <c r="F80" s="63">
        <v>1.5</v>
      </c>
      <c r="G80" s="63">
        <v>0.5</v>
      </c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8.0" customHeight="1">
      <c r="A81" s="26"/>
      <c r="B81" s="26"/>
      <c r="C81" s="62" t="s">
        <v>215</v>
      </c>
      <c r="D81" s="62" t="s">
        <v>194</v>
      </c>
      <c r="E81" s="62" t="s">
        <v>52</v>
      </c>
      <c r="F81" s="63">
        <v>0.25</v>
      </c>
      <c r="G81" s="63">
        <v>0.25</v>
      </c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5.75" customHeight="1">
      <c r="A82" s="26"/>
      <c r="B82" s="26"/>
      <c r="C82" s="62" t="s">
        <v>216</v>
      </c>
      <c r="D82" s="62" t="s">
        <v>52</v>
      </c>
      <c r="E82" s="62" t="s">
        <v>194</v>
      </c>
      <c r="F82" s="63">
        <v>1.0</v>
      </c>
      <c r="G82" s="63">
        <v>0.25</v>
      </c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5.75" customHeight="1">
      <c r="A83" s="26"/>
      <c r="B83" s="26"/>
      <c r="C83" s="62" t="s">
        <v>217</v>
      </c>
      <c r="D83" s="62" t="s">
        <v>52</v>
      </c>
      <c r="E83" s="62" t="s">
        <v>194</v>
      </c>
      <c r="F83" s="63">
        <v>2.0</v>
      </c>
      <c r="G83" s="63">
        <v>0.5</v>
      </c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5.75" customHeight="1">
      <c r="A84" s="26"/>
      <c r="B84" s="26"/>
      <c r="C84" s="62" t="s">
        <v>218</v>
      </c>
      <c r="D84" s="62" t="s">
        <v>211</v>
      </c>
      <c r="E84" s="62" t="s">
        <v>211</v>
      </c>
      <c r="F84" s="63">
        <v>0.0</v>
      </c>
      <c r="G84" s="63">
        <v>0.5</v>
      </c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5.75" customHeight="1">
      <c r="A85" s="26"/>
      <c r="B85" s="26"/>
      <c r="C85" s="62" t="s">
        <v>219</v>
      </c>
      <c r="D85" s="62" t="s">
        <v>64</v>
      </c>
      <c r="E85" s="62" t="s">
        <v>48</v>
      </c>
      <c r="F85" s="63">
        <v>2.5</v>
      </c>
      <c r="G85" s="63">
        <v>0.75</v>
      </c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5.75" customHeight="1">
      <c r="A86" s="26"/>
      <c r="B86" s="26"/>
      <c r="C86" s="62" t="s">
        <v>220</v>
      </c>
      <c r="D86" s="62" t="s">
        <v>51</v>
      </c>
      <c r="E86" s="62" t="s">
        <v>47</v>
      </c>
      <c r="F86" s="63">
        <v>3.0</v>
      </c>
      <c r="G86" s="63">
        <v>1.0</v>
      </c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75" customHeight="1">
      <c r="A87" s="1"/>
      <c r="B87" s="68"/>
      <c r="C87" s="62" t="s">
        <v>221</v>
      </c>
      <c r="D87" s="62" t="s">
        <v>51</v>
      </c>
      <c r="E87" s="62" t="s">
        <v>47</v>
      </c>
      <c r="F87" s="63">
        <v>2.0</v>
      </c>
      <c r="G87" s="63">
        <v>0.5</v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75" customHeight="1">
      <c r="A88" s="26"/>
      <c r="B88" s="26"/>
      <c r="C88" s="62" t="s">
        <v>222</v>
      </c>
      <c r="D88" s="62" t="s">
        <v>51</v>
      </c>
      <c r="E88" s="62" t="s">
        <v>47</v>
      </c>
      <c r="F88" s="63">
        <v>1.0</v>
      </c>
      <c r="G88" s="63">
        <v>0.5</v>
      </c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75" customHeight="1">
      <c r="A89" s="26"/>
      <c r="B89" s="26"/>
      <c r="C89" s="62" t="s">
        <v>223</v>
      </c>
      <c r="D89" s="62" t="s">
        <v>47</v>
      </c>
      <c r="E89" s="62" t="s">
        <v>51</v>
      </c>
      <c r="F89" s="63">
        <v>3.0</v>
      </c>
      <c r="G89" s="63">
        <v>1.0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5.75" customHeight="1">
      <c r="A90" s="26"/>
      <c r="B90" s="26"/>
      <c r="C90" s="62" t="s">
        <v>224</v>
      </c>
      <c r="D90" s="62" t="s">
        <v>47</v>
      </c>
      <c r="E90" s="62" t="s">
        <v>51</v>
      </c>
      <c r="F90" s="63">
        <v>0.5</v>
      </c>
      <c r="G90" s="63">
        <v>0.25</v>
      </c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5.75" customHeight="1">
      <c r="A91" s="26"/>
      <c r="B91" s="26"/>
      <c r="C91" s="62" t="s">
        <v>225</v>
      </c>
      <c r="D91" s="62" t="s">
        <v>51</v>
      </c>
      <c r="E91" s="62" t="s">
        <v>47</v>
      </c>
      <c r="F91" s="63">
        <v>1.5</v>
      </c>
      <c r="G91" s="63">
        <v>0.25</v>
      </c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75" customHeight="1">
      <c r="A92" s="26"/>
      <c r="B92" s="26"/>
      <c r="C92" s="62" t="s">
        <v>226</v>
      </c>
      <c r="D92" s="62" t="s">
        <v>174</v>
      </c>
      <c r="E92" s="62" t="s">
        <v>56</v>
      </c>
      <c r="F92" s="63">
        <v>0.5</v>
      </c>
      <c r="G92" s="63">
        <v>0.5</v>
      </c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5.75" customHeight="1">
      <c r="A93" s="26"/>
      <c r="B93" s="26"/>
      <c r="C93" s="62" t="s">
        <v>227</v>
      </c>
      <c r="D93" s="62" t="s">
        <v>51</v>
      </c>
      <c r="E93" s="62" t="s">
        <v>47</v>
      </c>
      <c r="F93" s="63">
        <v>0.5</v>
      </c>
      <c r="G93" s="63">
        <v>0.25</v>
      </c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5.75" customHeight="1">
      <c r="A94" s="26"/>
      <c r="B94" s="26"/>
      <c r="C94" s="62" t="s">
        <v>228</v>
      </c>
      <c r="D94" s="62" t="s">
        <v>229</v>
      </c>
      <c r="E94" s="62" t="s">
        <v>230</v>
      </c>
      <c r="F94" s="63">
        <v>0.5</v>
      </c>
      <c r="G94" s="63">
        <v>0.5</v>
      </c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5.75" customHeight="1">
      <c r="A95" s="26"/>
      <c r="B95" s="26"/>
      <c r="C95" s="62" t="s">
        <v>231</v>
      </c>
      <c r="D95" s="62" t="s">
        <v>211</v>
      </c>
      <c r="E95" s="62" t="s">
        <v>211</v>
      </c>
      <c r="F95" s="63">
        <v>0.0</v>
      </c>
      <c r="G95" s="63">
        <v>1.0</v>
      </c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5.75" customHeight="1">
      <c r="A96" s="26"/>
      <c r="B96" s="26"/>
      <c r="C96" s="62" t="s">
        <v>232</v>
      </c>
      <c r="D96" s="62" t="s">
        <v>47</v>
      </c>
      <c r="E96" s="62" t="s">
        <v>51</v>
      </c>
      <c r="F96" s="63">
        <v>1.0</v>
      </c>
      <c r="G96" s="63">
        <v>0.5</v>
      </c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5.75" customHeight="1">
      <c r="A97" s="26"/>
      <c r="B97" s="26"/>
      <c r="C97" s="62" t="s">
        <v>233</v>
      </c>
      <c r="D97" s="62" t="s">
        <v>51</v>
      </c>
      <c r="E97" s="62" t="s">
        <v>47</v>
      </c>
      <c r="F97" s="63">
        <v>0.5</v>
      </c>
      <c r="G97" s="63">
        <v>0.5</v>
      </c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5.75" customHeight="1">
      <c r="A98" s="26"/>
      <c r="B98" s="26"/>
      <c r="C98" s="62" t="s">
        <v>234</v>
      </c>
      <c r="D98" s="62" t="s">
        <v>64</v>
      </c>
      <c r="E98" s="62" t="s">
        <v>48</v>
      </c>
      <c r="F98" s="63">
        <v>1.0</v>
      </c>
      <c r="G98" s="63">
        <v>0.25</v>
      </c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5.75" customHeight="1">
      <c r="A99" s="26"/>
      <c r="B99" s="26"/>
      <c r="C99" s="62" t="s">
        <v>235</v>
      </c>
      <c r="D99" s="62" t="s">
        <v>48</v>
      </c>
      <c r="E99" s="62" t="s">
        <v>64</v>
      </c>
      <c r="F99" s="63">
        <v>2.0</v>
      </c>
      <c r="G99" s="63">
        <v>0.5</v>
      </c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5.75" customHeight="1">
      <c r="A100" s="26"/>
      <c r="B100" s="26"/>
      <c r="C100" s="62" t="s">
        <v>236</v>
      </c>
      <c r="D100" s="62" t="s">
        <v>56</v>
      </c>
      <c r="E100" s="62" t="s">
        <v>174</v>
      </c>
      <c r="F100" s="63">
        <v>0.5</v>
      </c>
      <c r="G100" s="63">
        <v>0.25</v>
      </c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5.75" customHeight="1">
      <c r="A101" s="26"/>
      <c r="B101" s="26"/>
      <c r="C101" s="62" t="s">
        <v>237</v>
      </c>
      <c r="D101" s="62" t="s">
        <v>56</v>
      </c>
      <c r="E101" s="62" t="s">
        <v>174</v>
      </c>
      <c r="F101" s="63">
        <v>0.25</v>
      </c>
      <c r="G101" s="63">
        <v>0.25</v>
      </c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5.75" customHeight="1">
      <c r="A102" s="26"/>
      <c r="B102" s="26"/>
      <c r="C102" s="62" t="s">
        <v>238</v>
      </c>
      <c r="D102" s="62" t="s">
        <v>56</v>
      </c>
      <c r="E102" s="62" t="s">
        <v>174</v>
      </c>
      <c r="F102" s="63">
        <v>0.25</v>
      </c>
      <c r="G102" s="63">
        <v>0.25</v>
      </c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75" customHeight="1">
      <c r="A103" s="26"/>
      <c r="B103" s="26"/>
      <c r="C103" s="62" t="s">
        <v>239</v>
      </c>
      <c r="D103" s="62" t="s">
        <v>211</v>
      </c>
      <c r="E103" s="34"/>
      <c r="F103" s="63">
        <v>0.0</v>
      </c>
      <c r="G103" s="63">
        <v>0.25</v>
      </c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5.75" customHeight="1">
      <c r="A104" s="26"/>
      <c r="B104" s="26"/>
      <c r="C104" s="62" t="s">
        <v>240</v>
      </c>
      <c r="D104" s="62" t="s">
        <v>241</v>
      </c>
      <c r="E104" s="62" t="s">
        <v>63</v>
      </c>
      <c r="F104" s="63">
        <v>0.25</v>
      </c>
      <c r="G104" s="63">
        <v>0.25</v>
      </c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4.25" customHeight="1">
      <c r="A105" s="26"/>
      <c r="B105" s="26"/>
      <c r="C105" s="38" t="s">
        <v>38</v>
      </c>
      <c r="D105" s="38"/>
      <c r="E105" s="38"/>
      <c r="F105" s="40">
        <f t="shared" ref="F105:G105" si="14">SUM(F67:F104)</f>
        <v>54.16</v>
      </c>
      <c r="G105" s="40">
        <f t="shared" si="14"/>
        <v>20</v>
      </c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4.25" customHeight="1">
      <c r="A106" s="26"/>
      <c r="B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4.25" customHeight="1">
      <c r="A107" s="26"/>
      <c r="B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4.25" customHeight="1">
      <c r="A108" s="26"/>
      <c r="B108" s="26"/>
      <c r="C108" s="62"/>
      <c r="D108" s="34"/>
      <c r="E108" s="34"/>
      <c r="F108" s="35"/>
      <c r="G108" s="35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4.25" customHeight="1">
      <c r="A109" s="26"/>
      <c r="B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4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4.25" customHeight="1">
      <c r="A111" s="26"/>
      <c r="B111" s="26"/>
      <c r="C111" s="61" t="s">
        <v>242</v>
      </c>
      <c r="D111" s="28"/>
      <c r="E111" s="28"/>
      <c r="F111" s="28"/>
      <c r="G111" s="29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4.25" customHeight="1">
      <c r="A112" s="26"/>
      <c r="B112" s="26"/>
      <c r="C112" s="30" t="s">
        <v>40</v>
      </c>
      <c r="D112" s="30" t="s">
        <v>41</v>
      </c>
      <c r="E112" s="30" t="s">
        <v>42</v>
      </c>
      <c r="F112" s="30" t="s">
        <v>43</v>
      </c>
      <c r="G112" s="30" t="s">
        <v>44</v>
      </c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4.25" customHeight="1">
      <c r="A113" s="26"/>
      <c r="B113" s="26"/>
      <c r="C113" s="62" t="s">
        <v>243</v>
      </c>
      <c r="D113" s="62" t="s">
        <v>132</v>
      </c>
      <c r="E113" s="62" t="s">
        <v>63</v>
      </c>
      <c r="F113" s="63">
        <v>2.5</v>
      </c>
      <c r="G113" s="63">
        <v>1.0</v>
      </c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4.25" customHeight="1">
      <c r="A114" s="26"/>
      <c r="B114" s="26"/>
      <c r="C114" s="62" t="s">
        <v>244</v>
      </c>
      <c r="D114" s="62" t="s">
        <v>47</v>
      </c>
      <c r="E114" s="62" t="s">
        <v>51</v>
      </c>
      <c r="F114" s="63">
        <v>4.0</v>
      </c>
      <c r="G114" s="63">
        <v>5.0</v>
      </c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4.25" customHeight="1">
      <c r="A115" s="26"/>
      <c r="B115" s="26"/>
      <c r="C115" s="62" t="s">
        <v>244</v>
      </c>
      <c r="D115" s="62" t="s">
        <v>174</v>
      </c>
      <c r="E115" s="62" t="s">
        <v>56</v>
      </c>
      <c r="F115" s="63">
        <v>6.0</v>
      </c>
      <c r="G115" s="63">
        <v>0.0</v>
      </c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4.25" customHeight="1">
      <c r="A116" s="26"/>
      <c r="B116" s="26"/>
      <c r="C116" s="62" t="s">
        <v>245</v>
      </c>
      <c r="D116" s="62" t="s">
        <v>174</v>
      </c>
      <c r="E116" s="62" t="s">
        <v>56</v>
      </c>
      <c r="F116" s="63">
        <v>2.0</v>
      </c>
      <c r="G116" s="63">
        <v>0.0</v>
      </c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4.25" customHeight="1">
      <c r="A117" s="26"/>
      <c r="B117" s="26"/>
      <c r="C117" s="38" t="s">
        <v>38</v>
      </c>
      <c r="D117" s="38"/>
      <c r="E117" s="38"/>
      <c r="F117" s="40">
        <f>SUM(F113:F116)</f>
        <v>14.5</v>
      </c>
      <c r="G117" s="65">
        <v>6.0</v>
      </c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4.25" customHeight="1">
      <c r="A118" s="26"/>
      <c r="B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4.25" customHeight="1">
      <c r="A119" s="26"/>
      <c r="B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4.25" customHeight="1">
      <c r="A120" s="26"/>
      <c r="B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4.25" customHeight="1">
      <c r="A121" s="26"/>
      <c r="B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4.25" customHeight="1">
      <c r="A122" s="26"/>
      <c r="B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4.25" customHeight="1">
      <c r="A123" s="26"/>
      <c r="B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4.25" customHeight="1">
      <c r="A124" s="26"/>
      <c r="B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4.25" customHeight="1">
      <c r="A125" s="26"/>
      <c r="B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4.25" customHeight="1">
      <c r="A126" s="26"/>
      <c r="B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4.25" customHeight="1">
      <c r="A127" s="26"/>
      <c r="B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4.25" customHeight="1">
      <c r="A128" s="26"/>
      <c r="B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4.25" customHeight="1">
      <c r="A129" s="26"/>
      <c r="B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4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4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4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4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4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4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4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4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4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4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4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4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4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4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4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4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4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4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4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4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4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4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4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4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4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4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4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4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4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4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4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4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4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4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4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4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4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4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4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4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4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4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4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4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4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4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4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4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4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4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4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4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4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4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4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4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4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4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4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4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4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4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4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4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4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4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4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4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4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4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4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4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4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4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4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4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4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4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4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4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4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4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4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4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4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4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4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4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4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4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4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4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4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4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4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4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4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4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4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4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4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4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4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4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4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4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4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4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4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4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4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4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4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4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4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4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4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4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4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4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4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4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4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4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4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4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4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4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4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4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4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4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4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4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4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4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4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4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4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4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4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4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4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4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4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4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4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4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4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4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4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4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4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4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4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4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4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4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4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4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4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4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4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4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4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4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4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4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4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4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4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4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4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4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4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4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4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4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4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4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4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4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4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4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4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4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4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4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4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4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4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4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4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4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4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4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4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4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4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4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4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4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4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4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4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4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4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4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4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4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4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4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4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4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4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4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4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4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4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4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4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4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4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4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4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4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4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4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4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4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4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4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4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4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4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4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4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4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4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4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4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4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4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4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4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4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4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4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4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4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4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4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4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4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4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4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4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4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4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4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4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4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4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4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4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4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4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4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4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4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4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4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4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4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4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4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4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4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4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4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4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4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4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4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4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4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4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4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4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4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4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4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4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4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4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4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4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4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4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4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4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4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4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4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4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4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4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4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4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4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4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4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4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4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4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4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4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4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4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4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4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4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4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4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4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4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4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4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4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4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4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4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4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4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4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4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4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4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4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4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4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4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4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4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4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4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4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4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4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4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4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4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4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4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4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4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4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4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4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4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4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4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4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4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4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4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4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4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4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4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4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4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4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4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4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4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4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4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4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4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4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4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4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4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4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4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4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4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4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4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4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4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4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4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4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4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4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4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4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4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4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4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4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4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4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4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4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4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4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4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4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4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4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4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4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4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4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4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4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4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4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4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4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4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4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4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4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4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4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4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4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4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4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4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4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4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4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4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4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4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4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4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4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4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4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4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4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4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4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4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4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4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4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4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4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4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4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4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4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4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4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4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4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4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4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4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4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4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4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4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4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4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4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4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4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4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4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4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4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4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4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4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4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4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4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4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4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4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4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4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4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4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4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4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4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4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4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4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4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4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4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4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4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4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4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4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4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4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4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4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4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4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4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4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4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4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4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4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4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4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4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4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4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4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4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4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4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4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4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4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4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4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4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4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4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4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4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4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4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4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4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4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4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4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4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4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4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4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4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4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4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4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4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4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4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4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4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4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4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4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4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4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4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4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4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4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4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4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4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4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4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4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4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4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4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4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4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4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4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4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4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4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4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4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4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4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4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4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4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4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4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4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4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4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4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4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4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4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4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4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4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4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4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4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4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4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4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4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4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4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4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4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4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4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4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4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4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4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4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4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4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4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4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4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4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4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4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4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4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4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4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4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4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4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4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4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4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4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4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4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4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4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4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4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4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4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4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4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4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4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4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4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4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4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4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4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4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4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4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4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4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4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4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4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4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4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4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4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4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4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4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4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4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4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4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4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4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4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4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4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4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4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4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4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4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4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4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4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4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4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4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4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4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4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4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4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4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4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4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4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4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4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4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4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4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4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4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4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4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4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4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4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4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4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4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4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4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4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4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4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4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4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4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4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4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4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4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4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4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4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4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4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4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4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4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4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4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4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4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4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4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4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4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4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4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4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4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4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4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4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4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4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4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4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4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4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4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4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4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4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4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4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4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4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4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4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4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4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4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4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4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4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4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4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4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4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4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4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4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4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4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4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4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4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4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4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4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4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4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4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4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4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4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4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4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4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4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4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4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4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4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4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4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4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4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4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4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4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4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4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4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4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4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4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4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4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4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4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4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4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4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4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4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4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4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4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4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4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4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4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4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4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4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4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4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4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4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4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4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4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4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4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4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4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4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4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4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4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4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4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4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4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4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4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4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4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4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4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4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4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4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4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4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4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4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4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4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4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4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4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4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23">
    <mergeCell ref="S13:T13"/>
    <mergeCell ref="U13:V13"/>
    <mergeCell ref="W13:X13"/>
    <mergeCell ref="Y13:Z13"/>
    <mergeCell ref="C2:G2"/>
    <mergeCell ref="C11:G11"/>
    <mergeCell ref="K12:N12"/>
    <mergeCell ref="M13:N13"/>
    <mergeCell ref="O13:P13"/>
    <mergeCell ref="Q13:R13"/>
    <mergeCell ref="A14:B14"/>
    <mergeCell ref="A63:B63"/>
    <mergeCell ref="C65:G65"/>
    <mergeCell ref="A74:B74"/>
    <mergeCell ref="A87:B87"/>
    <mergeCell ref="C111:G111"/>
    <mergeCell ref="K13:L13"/>
    <mergeCell ref="I14:J14"/>
    <mergeCell ref="C18:G18"/>
    <mergeCell ref="C33:G33"/>
    <mergeCell ref="A37:B37"/>
    <mergeCell ref="C48:G48"/>
    <mergeCell ref="A51:B51"/>
  </mergeCells>
  <conditionalFormatting sqref="I15:I28 J15:J21">
    <cfRule type="expression" dxfId="0" priority="1">
      <formula>LEN(TRIM(I15))&gt;0</formula>
    </cfRule>
  </conditionalFormatting>
  <conditionalFormatting sqref="I22:J29">
    <cfRule type="expression" dxfId="0" priority="2">
      <formula>LEN(TRIM(I22))&gt;0</formula>
    </cfRule>
  </conditionalFormatting>
  <printOptions/>
  <pageMargins bottom="0.3" footer="0.0" header="0.0" left="0.7" right="0.7" top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4.57"/>
    <col customWidth="1" min="3" max="3" width="53.86"/>
    <col customWidth="1" min="4" max="5" width="17.0"/>
    <col customWidth="1" min="6" max="6" width="31.71"/>
    <col customWidth="1" min="7" max="7" width="25.57"/>
    <col customWidth="1" min="8" max="8" width="14.43"/>
    <col customWidth="1" min="9" max="9" width="17.0"/>
    <col customWidth="1" min="10" max="16" width="14.43"/>
    <col customWidth="1" min="17" max="26" width="8.71"/>
  </cols>
  <sheetData>
    <row r="1" ht="14.25" customHeight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20.25" customHeight="1">
      <c r="A2" s="26"/>
      <c r="B2" s="26"/>
      <c r="C2" s="27" t="s">
        <v>246</v>
      </c>
      <c r="D2" s="28"/>
      <c r="E2" s="28"/>
      <c r="F2" s="28"/>
      <c r="G2" s="29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8.0" customHeight="1">
      <c r="A3" s="26"/>
      <c r="B3" s="26"/>
      <c r="C3" s="30" t="s">
        <v>40</v>
      </c>
      <c r="D3" s="30" t="s">
        <v>41</v>
      </c>
      <c r="E3" s="30" t="s">
        <v>42</v>
      </c>
      <c r="F3" s="30" t="s">
        <v>43</v>
      </c>
      <c r="G3" s="30" t="s">
        <v>44</v>
      </c>
      <c r="H3" s="26"/>
      <c r="I3" s="31" t="s">
        <v>45</v>
      </c>
      <c r="J3" s="32"/>
      <c r="K3" s="32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5.0" customHeight="1">
      <c r="A4" s="26"/>
      <c r="B4" s="26"/>
      <c r="C4" s="34" t="s">
        <v>247</v>
      </c>
      <c r="D4" s="34"/>
      <c r="E4" s="34"/>
      <c r="F4" s="35"/>
      <c r="G4" s="35"/>
      <c r="H4" s="26"/>
      <c r="I4" s="31" t="s">
        <v>49</v>
      </c>
      <c r="J4" s="32"/>
      <c r="K4" s="32">
        <f>F14+F29</f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5.0" customHeight="1">
      <c r="A5" s="64"/>
      <c r="B5" s="26"/>
      <c r="C5" s="34" t="s">
        <v>248</v>
      </c>
      <c r="D5" s="34"/>
      <c r="E5" s="34"/>
      <c r="F5" s="35"/>
      <c r="G5" s="35"/>
      <c r="H5" s="26"/>
      <c r="I5" s="31" t="s">
        <v>53</v>
      </c>
      <c r="J5" s="32"/>
      <c r="K5" s="32">
        <f>G14+G29</f>
        <v>0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5.0" customHeight="1">
      <c r="A6" s="26"/>
      <c r="B6" s="26"/>
      <c r="C6" s="34" t="s">
        <v>249</v>
      </c>
      <c r="D6" s="34"/>
      <c r="E6" s="34"/>
      <c r="F6" s="35"/>
      <c r="G6" s="35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5.0" customHeight="1">
      <c r="A7" s="26"/>
      <c r="B7" s="26"/>
      <c r="C7" s="34" t="s">
        <v>250</v>
      </c>
      <c r="D7" s="34"/>
      <c r="E7" s="34"/>
      <c r="F7" s="35"/>
      <c r="G7" s="35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2.75" customHeight="1">
      <c r="A8" s="26"/>
      <c r="B8" s="26"/>
      <c r="C8" s="34" t="s">
        <v>251</v>
      </c>
      <c r="D8" s="34"/>
      <c r="E8" s="34"/>
      <c r="F8" s="35"/>
      <c r="G8" s="35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5.0" customHeight="1">
      <c r="A9" s="26"/>
      <c r="B9" s="26"/>
      <c r="C9" s="34" t="s">
        <v>252</v>
      </c>
      <c r="D9" s="34"/>
      <c r="E9" s="34"/>
      <c r="F9" s="35"/>
      <c r="G9" s="35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5.0" customHeight="1">
      <c r="A10" s="26"/>
      <c r="B10" s="26"/>
      <c r="C10" s="34" t="s">
        <v>253</v>
      </c>
      <c r="D10" s="34"/>
      <c r="E10" s="34"/>
      <c r="F10" s="35"/>
      <c r="G10" s="35"/>
      <c r="H10" s="26"/>
      <c r="I10" s="26" t="s">
        <v>60</v>
      </c>
      <c r="J10" s="26">
        <v>7.0</v>
      </c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8.0" customHeight="1">
      <c r="A11" s="64"/>
      <c r="B11" s="26"/>
      <c r="C11" s="34" t="s">
        <v>254</v>
      </c>
      <c r="D11" s="34"/>
      <c r="E11" s="34"/>
      <c r="F11" s="35"/>
      <c r="G11" s="35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5.0" customHeight="1">
      <c r="A12" s="26"/>
      <c r="B12" s="26"/>
      <c r="C12" s="34" t="s">
        <v>255</v>
      </c>
      <c r="D12" s="34"/>
      <c r="E12" s="34"/>
      <c r="F12" s="35"/>
      <c r="G12" s="35"/>
      <c r="H12" s="26"/>
      <c r="I12" s="26"/>
      <c r="J12" s="26"/>
      <c r="K12" s="66" t="s">
        <v>164</v>
      </c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5.0" customHeight="1">
      <c r="A13" s="26"/>
      <c r="B13" s="26"/>
      <c r="C13" s="34" t="s">
        <v>256</v>
      </c>
      <c r="D13" s="34"/>
      <c r="E13" s="34"/>
      <c r="F13" s="35"/>
      <c r="G13" s="35"/>
      <c r="H13" s="26"/>
      <c r="I13" s="26"/>
      <c r="J13" s="26"/>
      <c r="K13" s="43" t="s">
        <v>38</v>
      </c>
      <c r="L13" s="44"/>
      <c r="M13" s="45" t="s">
        <v>5</v>
      </c>
      <c r="N13" s="44"/>
      <c r="O13" s="45" t="s">
        <v>6</v>
      </c>
      <c r="P13" s="44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5.75" customHeight="1">
      <c r="A14" s="1"/>
      <c r="B14" s="68"/>
      <c r="C14" s="38" t="s">
        <v>38</v>
      </c>
      <c r="D14" s="38"/>
      <c r="E14" s="38"/>
      <c r="F14" s="40">
        <f t="shared" ref="F14:G14" si="1">SUM(F4:F13)</f>
        <v>0</v>
      </c>
      <c r="G14" s="40">
        <f t="shared" si="1"/>
        <v>0</v>
      </c>
      <c r="H14" s="26"/>
      <c r="I14" s="46" t="s">
        <v>67</v>
      </c>
      <c r="J14" s="44"/>
      <c r="K14" s="47" t="s">
        <v>68</v>
      </c>
      <c r="L14" s="48" t="s">
        <v>69</v>
      </c>
      <c r="M14" s="47" t="s">
        <v>68</v>
      </c>
      <c r="N14" s="48" t="s">
        <v>69</v>
      </c>
      <c r="O14" s="47" t="s">
        <v>68</v>
      </c>
      <c r="P14" s="48" t="s">
        <v>69</v>
      </c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5.75" customHeight="1">
      <c r="A15" s="26"/>
      <c r="B15" s="26"/>
      <c r="C15" s="26"/>
      <c r="D15" s="26"/>
      <c r="E15" s="26"/>
      <c r="F15" s="26"/>
      <c r="G15" s="26"/>
      <c r="H15" s="26"/>
      <c r="I15" s="72">
        <v>45000.0</v>
      </c>
      <c r="J15" s="50">
        <v>0.0</v>
      </c>
      <c r="K15" s="26">
        <f t="shared" ref="K15:L15" si="2">M15+O15</f>
        <v>0</v>
      </c>
      <c r="L15" s="26">
        <f t="shared" si="2"/>
        <v>0</v>
      </c>
      <c r="M15" s="52">
        <v>0.0</v>
      </c>
      <c r="N15" s="52"/>
      <c r="O15" s="52">
        <v>0.0</v>
      </c>
      <c r="P15" s="52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6.5" customHeight="1">
      <c r="A16" s="26"/>
      <c r="B16" s="26"/>
      <c r="C16" s="26"/>
      <c r="D16" s="26"/>
      <c r="E16" s="26"/>
      <c r="F16" s="26"/>
      <c r="G16" s="26"/>
      <c r="H16" s="26"/>
      <c r="I16" s="72">
        <v>45001.0</v>
      </c>
      <c r="J16" s="50">
        <v>1.0</v>
      </c>
      <c r="K16" s="26">
        <f t="shared" ref="K16:L16" si="3">M16+O16</f>
        <v>0</v>
      </c>
      <c r="L16" s="26">
        <f t="shared" si="3"/>
        <v>0</v>
      </c>
      <c r="M16" s="52">
        <f t="shared" ref="M16:M22" si="5">$M$15*(1-1/$J$10*J16)</f>
        <v>0</v>
      </c>
      <c r="N16" s="52"/>
      <c r="O16" s="52">
        <f t="shared" ref="O16:O22" si="6">$O$15*(1-1/$J$10*J16)</f>
        <v>0</v>
      </c>
      <c r="P16" s="52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6.5" customHeight="1">
      <c r="A17" s="26"/>
      <c r="B17" s="26"/>
      <c r="C17" s="27" t="s">
        <v>257</v>
      </c>
      <c r="D17" s="28"/>
      <c r="E17" s="28"/>
      <c r="F17" s="28"/>
      <c r="G17" s="29"/>
      <c r="H17" s="26"/>
      <c r="I17" s="72">
        <v>45002.0</v>
      </c>
      <c r="J17" s="50">
        <v>2.0</v>
      </c>
      <c r="K17" s="26">
        <f t="shared" ref="K17:L17" si="4">M17+O17</f>
        <v>0</v>
      </c>
      <c r="L17" s="26">
        <f t="shared" si="4"/>
        <v>0</v>
      </c>
      <c r="M17" s="52">
        <f t="shared" si="5"/>
        <v>0</v>
      </c>
      <c r="N17" s="52"/>
      <c r="O17" s="52">
        <f t="shared" si="6"/>
        <v>0</v>
      </c>
      <c r="P17" s="52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6.5" customHeight="1">
      <c r="A18" s="26"/>
      <c r="B18" s="26"/>
      <c r="C18" s="30" t="s">
        <v>40</v>
      </c>
      <c r="D18" s="30" t="s">
        <v>41</v>
      </c>
      <c r="E18" s="30" t="s">
        <v>42</v>
      </c>
      <c r="F18" s="30" t="s">
        <v>43</v>
      </c>
      <c r="G18" s="30" t="s">
        <v>44</v>
      </c>
      <c r="H18" s="26"/>
      <c r="I18" s="72">
        <v>45003.0</v>
      </c>
      <c r="J18" s="50">
        <v>3.0</v>
      </c>
      <c r="K18" s="26">
        <f t="shared" ref="K18:L18" si="7">M18+O18</f>
        <v>0</v>
      </c>
      <c r="L18" s="26">
        <f t="shared" si="7"/>
        <v>0</v>
      </c>
      <c r="M18" s="52">
        <f t="shared" si="5"/>
        <v>0</v>
      </c>
      <c r="N18" s="52"/>
      <c r="O18" s="52">
        <f t="shared" si="6"/>
        <v>0</v>
      </c>
      <c r="P18" s="52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6.5" customHeight="1">
      <c r="A19" s="26"/>
      <c r="B19" s="26"/>
      <c r="C19" s="34" t="s">
        <v>247</v>
      </c>
      <c r="D19" s="34"/>
      <c r="E19" s="34"/>
      <c r="F19" s="35"/>
      <c r="G19" s="35"/>
      <c r="H19" s="26"/>
      <c r="I19" s="72">
        <v>45004.0</v>
      </c>
      <c r="J19" s="50">
        <v>4.0</v>
      </c>
      <c r="K19" s="26">
        <f t="shared" ref="K19:L19" si="8">M19+O19</f>
        <v>0</v>
      </c>
      <c r="L19" s="26">
        <f t="shared" si="8"/>
        <v>0</v>
      </c>
      <c r="M19" s="52">
        <f t="shared" si="5"/>
        <v>0</v>
      </c>
      <c r="N19" s="52"/>
      <c r="O19" s="52">
        <f t="shared" si="6"/>
        <v>0</v>
      </c>
      <c r="P19" s="52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6.5" customHeight="1">
      <c r="A20" s="26"/>
      <c r="B20" s="26"/>
      <c r="C20" s="34" t="s">
        <v>248</v>
      </c>
      <c r="D20" s="34"/>
      <c r="E20" s="34"/>
      <c r="F20" s="35"/>
      <c r="G20" s="35"/>
      <c r="H20" s="26"/>
      <c r="I20" s="72">
        <v>45005.0</v>
      </c>
      <c r="J20" s="50">
        <v>5.0</v>
      </c>
      <c r="K20" s="26">
        <f t="shared" ref="K20:L20" si="9">M20+O20</f>
        <v>0</v>
      </c>
      <c r="L20" s="26">
        <f t="shared" si="9"/>
        <v>0</v>
      </c>
      <c r="M20" s="52">
        <f t="shared" si="5"/>
        <v>0</v>
      </c>
      <c r="N20" s="52"/>
      <c r="O20" s="52">
        <f t="shared" si="6"/>
        <v>0</v>
      </c>
      <c r="P20" s="52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75" customHeight="1">
      <c r="A21" s="26"/>
      <c r="B21" s="26"/>
      <c r="C21" s="34" t="s">
        <v>249</v>
      </c>
      <c r="D21" s="34"/>
      <c r="E21" s="34"/>
      <c r="F21" s="35"/>
      <c r="G21" s="35"/>
      <c r="H21" s="26"/>
      <c r="I21" s="72">
        <v>45006.0</v>
      </c>
      <c r="J21" s="50">
        <v>6.0</v>
      </c>
      <c r="K21" s="26">
        <f t="shared" ref="K21:L21" si="10">M21+O21</f>
        <v>0</v>
      </c>
      <c r="L21" s="26">
        <f t="shared" si="10"/>
        <v>0</v>
      </c>
      <c r="M21" s="52">
        <f t="shared" si="5"/>
        <v>0</v>
      </c>
      <c r="N21" s="52"/>
      <c r="O21" s="52">
        <f t="shared" si="6"/>
        <v>0</v>
      </c>
      <c r="P21" s="52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5.75" customHeight="1">
      <c r="A22" s="26"/>
      <c r="B22" s="26"/>
      <c r="C22" s="34" t="s">
        <v>250</v>
      </c>
      <c r="D22" s="34"/>
      <c r="E22" s="34"/>
      <c r="F22" s="35"/>
      <c r="G22" s="35"/>
      <c r="H22" s="26"/>
      <c r="I22" s="72">
        <v>45007.0</v>
      </c>
      <c r="J22" s="50">
        <v>7.0</v>
      </c>
      <c r="K22" s="26">
        <f t="shared" ref="K22:L22" si="11">M22+O22</f>
        <v>0</v>
      </c>
      <c r="L22" s="26">
        <f t="shared" si="11"/>
        <v>0</v>
      </c>
      <c r="M22" s="52">
        <f t="shared" si="5"/>
        <v>0</v>
      </c>
      <c r="N22" s="52"/>
      <c r="O22" s="52">
        <f t="shared" si="6"/>
        <v>0</v>
      </c>
      <c r="P22" s="52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5.75" customHeight="1">
      <c r="A23" s="10"/>
      <c r="B23" s="26"/>
      <c r="C23" s="34" t="s">
        <v>251</v>
      </c>
      <c r="D23" s="34"/>
      <c r="E23" s="34"/>
      <c r="F23" s="35"/>
      <c r="G23" s="35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5.75" customHeight="1">
      <c r="A24" s="10"/>
      <c r="B24" s="26"/>
      <c r="C24" s="34" t="s">
        <v>252</v>
      </c>
      <c r="D24" s="34"/>
      <c r="E24" s="34"/>
      <c r="F24" s="35"/>
      <c r="G24" s="35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75" customHeight="1">
      <c r="A25" s="54"/>
      <c r="B25" s="26"/>
      <c r="C25" s="34" t="s">
        <v>253</v>
      </c>
      <c r="D25" s="34"/>
      <c r="E25" s="34"/>
      <c r="F25" s="35"/>
      <c r="G25" s="35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75" customHeight="1">
      <c r="A26" s="54"/>
      <c r="B26" s="26"/>
      <c r="C26" s="34" t="s">
        <v>254</v>
      </c>
      <c r="D26" s="34"/>
      <c r="E26" s="34"/>
      <c r="F26" s="35"/>
      <c r="G26" s="35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75" customHeight="1">
      <c r="A27" s="1"/>
      <c r="B27" s="26"/>
      <c r="C27" s="34" t="s">
        <v>255</v>
      </c>
      <c r="D27" s="34"/>
      <c r="E27" s="34"/>
      <c r="F27" s="35"/>
      <c r="G27" s="35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75" customHeight="1">
      <c r="A28" s="26"/>
      <c r="B28" s="26"/>
      <c r="C28" s="34" t="s">
        <v>256</v>
      </c>
      <c r="D28" s="34"/>
      <c r="E28" s="34"/>
      <c r="F28" s="35"/>
      <c r="G28" s="35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75" customHeight="1">
      <c r="A29" s="26"/>
      <c r="B29" s="26"/>
      <c r="C29" s="38" t="s">
        <v>38</v>
      </c>
      <c r="D29" s="38"/>
      <c r="E29" s="38"/>
      <c r="F29" s="40">
        <f t="shared" ref="F29:G29" si="12">SUM(F19:F28)</f>
        <v>0</v>
      </c>
      <c r="G29" s="40">
        <f t="shared" si="12"/>
        <v>0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5.75" customHeight="1">
      <c r="A37" s="1"/>
      <c r="B37" s="68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8.0" customHeight="1">
      <c r="A51" s="1"/>
      <c r="B51" s="68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8.0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8.0" customHeight="1">
      <c r="A63" s="1"/>
      <c r="B63" s="68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8.0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8.0" customHeight="1">
      <c r="A74" s="1"/>
      <c r="B74" s="68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8.0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75" customHeight="1">
      <c r="A87" s="1"/>
      <c r="B87" s="68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4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4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4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4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4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4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4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4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4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4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4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4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4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4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4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4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4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4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4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4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4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4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4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4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4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4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4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4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4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4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4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4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4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4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4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4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4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4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4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4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4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4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4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4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4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4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4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4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4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4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4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4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4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4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4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4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4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4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4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4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4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4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4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4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4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4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4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4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4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4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4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4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4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4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4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4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4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4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4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4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4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4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4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4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4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4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4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4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4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4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4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4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4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4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4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4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4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4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4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4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4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4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4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4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4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4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4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4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4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4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4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4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4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4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4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4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4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4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4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4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4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4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4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4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4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4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4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4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4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4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4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4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4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4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4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4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4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4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4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4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4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4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4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4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4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4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4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4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4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4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4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4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4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4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4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4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4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4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4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4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4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4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4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4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4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4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4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4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4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4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4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4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4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4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4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4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4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4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4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4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4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4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4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4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4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4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4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4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4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4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4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4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4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4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4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4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4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4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4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4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4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4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4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4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4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4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4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4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4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4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4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4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4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4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4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4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4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4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4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4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4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4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4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4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4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4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4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4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4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4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4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4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4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4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4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4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4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4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4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4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4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4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4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4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4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4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4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4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4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4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4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4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4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4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4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4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4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4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4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4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4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4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4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4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4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4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4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4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4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4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4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4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4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4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4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4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4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4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4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4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4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4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4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4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4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4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4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4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4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4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4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4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4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4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4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4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4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4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4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4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4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4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4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4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4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4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4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4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4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4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4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4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4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4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4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4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4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4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4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4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4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4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4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4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4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4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4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4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4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4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4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4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4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4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4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4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4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4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4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4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4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4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4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4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4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4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4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4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4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4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4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4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4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4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4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4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4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4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4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4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4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4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4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4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4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4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4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4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4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4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4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4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4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4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4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4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4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4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4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4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4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4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4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4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4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4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4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4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4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4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4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4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4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4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4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4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4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4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4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4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4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4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4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4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4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4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4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4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4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4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4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4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4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4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4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4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4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4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4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4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4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4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4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4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4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4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4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4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4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4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4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4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4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4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4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4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4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4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4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4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4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4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4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4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4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4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4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4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4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4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4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4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4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4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4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4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4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4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4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4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4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4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4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4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4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4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4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4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4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4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4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4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4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4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4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4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4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4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4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4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4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4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4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4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4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4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4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4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4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4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4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4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4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4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4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4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4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4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4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4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4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4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4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4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4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4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4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4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4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4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4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4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4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4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4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4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4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4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4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4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4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4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4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4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4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4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4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4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4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4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4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4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4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4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4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4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4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4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4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4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4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4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4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4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4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4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4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4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4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4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4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4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4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4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4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4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4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4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4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4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4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4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4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4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4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4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4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4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4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4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4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4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4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4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4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4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4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4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4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4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4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4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4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4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4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4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4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4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4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4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4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4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4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4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4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4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4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4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4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4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4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4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4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4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4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4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4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4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4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4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4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4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4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4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4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4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4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4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4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4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4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4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4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4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4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4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4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4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4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4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4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4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4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4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4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4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4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4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4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4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4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4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4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4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4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4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4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4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4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4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4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4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4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4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4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4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4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4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4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4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4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4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4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4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4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4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4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4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4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4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4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4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4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4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4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4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4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4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4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4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4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4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4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4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4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4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4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4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4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4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4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4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4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4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4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4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4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4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4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4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4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4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4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4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4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4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4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4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4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4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4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4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4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4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4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4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4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4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4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4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4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4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4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4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4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4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4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4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4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4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4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4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4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4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4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4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4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4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4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4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4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4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4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4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4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4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4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4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4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4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4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4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4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4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4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4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4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4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4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4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4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4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4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4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4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4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4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4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4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4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4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4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4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4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4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4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4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4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4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4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4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4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4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4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4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4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4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4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4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4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4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4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4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4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4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4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4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4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4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4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4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4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4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4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4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4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4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4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4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4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4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4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4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4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4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4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4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4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4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4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4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4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4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4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4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4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4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4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4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4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4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4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4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4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4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4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4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4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4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4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4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4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4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4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4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4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4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4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4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4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4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4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4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4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4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4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4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4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4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4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4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4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4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4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4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4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4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4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4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4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4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4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4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4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4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4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4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4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4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4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4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4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4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4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4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4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4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4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4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4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4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4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4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4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4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4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13">
    <mergeCell ref="A14:B14"/>
    <mergeCell ref="A37:B37"/>
    <mergeCell ref="A51:B51"/>
    <mergeCell ref="A63:B63"/>
    <mergeCell ref="A74:B74"/>
    <mergeCell ref="A87:B87"/>
    <mergeCell ref="C2:G2"/>
    <mergeCell ref="K12:N12"/>
    <mergeCell ref="K13:L13"/>
    <mergeCell ref="M13:N13"/>
    <mergeCell ref="O13:P13"/>
    <mergeCell ref="I14:J14"/>
    <mergeCell ref="C17:G17"/>
  </mergeCells>
  <conditionalFormatting sqref="I15:J21">
    <cfRule type="expression" dxfId="0" priority="1">
      <formula>LEN(TRIM(I15))&gt;0</formula>
    </cfRule>
  </conditionalFormatting>
  <conditionalFormatting sqref="I22:J22">
    <cfRule type="expression" dxfId="0" priority="2">
      <formula>LEN(TRIM(I22))&gt;0</formula>
    </cfRule>
  </conditionalFormatting>
  <printOptions/>
  <pageMargins bottom="0.3" footer="0.0" header="0.0" left="0.7" right="0.7" top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4.57"/>
    <col customWidth="1" min="3" max="3" width="53.86"/>
    <col customWidth="1" min="4" max="5" width="17.0"/>
    <col customWidth="1" min="6" max="6" width="31.71"/>
    <col customWidth="1" min="7" max="7" width="25.57"/>
    <col customWidth="1" min="8" max="8" width="14.43"/>
    <col customWidth="1" min="9" max="9" width="17.0"/>
    <col customWidth="1" min="10" max="16" width="14.43"/>
    <col customWidth="1" min="17" max="26" width="8.71"/>
  </cols>
  <sheetData>
    <row r="1" ht="14.25" customHeight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20.25" customHeight="1">
      <c r="A2" s="26"/>
      <c r="B2" s="26"/>
      <c r="C2" s="27" t="s">
        <v>246</v>
      </c>
      <c r="D2" s="28"/>
      <c r="E2" s="28"/>
      <c r="F2" s="28"/>
      <c r="G2" s="29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8.0" customHeight="1">
      <c r="A3" s="26"/>
      <c r="B3" s="26"/>
      <c r="C3" s="30" t="s">
        <v>40</v>
      </c>
      <c r="D3" s="30" t="s">
        <v>41</v>
      </c>
      <c r="E3" s="30" t="s">
        <v>42</v>
      </c>
      <c r="F3" s="30" t="s">
        <v>43</v>
      </c>
      <c r="G3" s="30" t="s">
        <v>44</v>
      </c>
      <c r="H3" s="26"/>
      <c r="I3" s="31" t="s">
        <v>45</v>
      </c>
      <c r="J3" s="32"/>
      <c r="K3" s="32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5.0" customHeight="1">
      <c r="A4" s="26"/>
      <c r="B4" s="26"/>
      <c r="C4" s="34" t="s">
        <v>247</v>
      </c>
      <c r="D4" s="34"/>
      <c r="E4" s="34"/>
      <c r="F4" s="35"/>
      <c r="G4" s="35"/>
      <c r="H4" s="26"/>
      <c r="I4" s="31" t="s">
        <v>49</v>
      </c>
      <c r="J4" s="32"/>
      <c r="K4" s="32">
        <f>F14+F29</f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5.0" customHeight="1">
      <c r="A5" s="64"/>
      <c r="B5" s="26"/>
      <c r="C5" s="34" t="s">
        <v>248</v>
      </c>
      <c r="D5" s="34"/>
      <c r="E5" s="34"/>
      <c r="F5" s="35"/>
      <c r="G5" s="35"/>
      <c r="H5" s="26"/>
      <c r="I5" s="31" t="s">
        <v>53</v>
      </c>
      <c r="J5" s="32"/>
      <c r="K5" s="32">
        <f>G14+G29</f>
        <v>0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5.0" customHeight="1">
      <c r="A6" s="26"/>
      <c r="B6" s="26"/>
      <c r="C6" s="34" t="s">
        <v>249</v>
      </c>
      <c r="D6" s="34"/>
      <c r="E6" s="34"/>
      <c r="F6" s="35"/>
      <c r="G6" s="35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5.0" customHeight="1">
      <c r="A7" s="26"/>
      <c r="B7" s="26"/>
      <c r="C7" s="34" t="s">
        <v>250</v>
      </c>
      <c r="D7" s="34"/>
      <c r="E7" s="34"/>
      <c r="F7" s="35"/>
      <c r="G7" s="35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2.75" customHeight="1">
      <c r="A8" s="26"/>
      <c r="B8" s="26"/>
      <c r="C8" s="34" t="s">
        <v>251</v>
      </c>
      <c r="D8" s="34"/>
      <c r="E8" s="34"/>
      <c r="F8" s="35"/>
      <c r="G8" s="35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5.0" customHeight="1">
      <c r="A9" s="26"/>
      <c r="B9" s="26"/>
      <c r="C9" s="34" t="s">
        <v>252</v>
      </c>
      <c r="D9" s="34"/>
      <c r="E9" s="34"/>
      <c r="F9" s="35"/>
      <c r="G9" s="35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5.0" customHeight="1">
      <c r="A10" s="26"/>
      <c r="B10" s="26"/>
      <c r="C10" s="34" t="s">
        <v>253</v>
      </c>
      <c r="D10" s="34"/>
      <c r="E10" s="34"/>
      <c r="F10" s="35"/>
      <c r="G10" s="35"/>
      <c r="H10" s="26"/>
      <c r="I10" s="26" t="s">
        <v>60</v>
      </c>
      <c r="J10" s="26">
        <v>7.0</v>
      </c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8.0" customHeight="1">
      <c r="A11" s="64"/>
      <c r="B11" s="26"/>
      <c r="C11" s="34" t="s">
        <v>254</v>
      </c>
      <c r="D11" s="34"/>
      <c r="E11" s="34"/>
      <c r="F11" s="35"/>
      <c r="G11" s="35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5.0" customHeight="1">
      <c r="A12" s="26"/>
      <c r="B12" s="26"/>
      <c r="C12" s="34" t="s">
        <v>255</v>
      </c>
      <c r="D12" s="34"/>
      <c r="E12" s="34"/>
      <c r="F12" s="35"/>
      <c r="G12" s="35"/>
      <c r="H12" s="26"/>
      <c r="I12" s="26"/>
      <c r="J12" s="26"/>
      <c r="K12" s="66" t="s">
        <v>164</v>
      </c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5.0" customHeight="1">
      <c r="A13" s="26"/>
      <c r="B13" s="26"/>
      <c r="C13" s="34" t="s">
        <v>256</v>
      </c>
      <c r="D13" s="34"/>
      <c r="E13" s="34"/>
      <c r="F13" s="35"/>
      <c r="G13" s="35"/>
      <c r="H13" s="26"/>
      <c r="I13" s="26"/>
      <c r="J13" s="26"/>
      <c r="K13" s="43" t="s">
        <v>38</v>
      </c>
      <c r="L13" s="44"/>
      <c r="M13" s="45" t="s">
        <v>5</v>
      </c>
      <c r="N13" s="44"/>
      <c r="O13" s="45" t="s">
        <v>6</v>
      </c>
      <c r="P13" s="44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5.75" customHeight="1">
      <c r="A14" s="1"/>
      <c r="B14" s="68"/>
      <c r="C14" s="38" t="s">
        <v>38</v>
      </c>
      <c r="D14" s="38"/>
      <c r="E14" s="38"/>
      <c r="F14" s="40">
        <f t="shared" ref="F14:G14" si="1">SUM(F4:F13)</f>
        <v>0</v>
      </c>
      <c r="G14" s="40">
        <f t="shared" si="1"/>
        <v>0</v>
      </c>
      <c r="H14" s="26"/>
      <c r="I14" s="46" t="s">
        <v>67</v>
      </c>
      <c r="J14" s="44"/>
      <c r="K14" s="47" t="s">
        <v>68</v>
      </c>
      <c r="L14" s="48" t="s">
        <v>69</v>
      </c>
      <c r="M14" s="47" t="s">
        <v>68</v>
      </c>
      <c r="N14" s="48" t="s">
        <v>69</v>
      </c>
      <c r="O14" s="47" t="s">
        <v>68</v>
      </c>
      <c r="P14" s="48" t="s">
        <v>69</v>
      </c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5.75" customHeight="1">
      <c r="A15" s="26"/>
      <c r="B15" s="26"/>
      <c r="C15" s="26"/>
      <c r="D15" s="26"/>
      <c r="E15" s="26"/>
      <c r="F15" s="26"/>
      <c r="G15" s="26"/>
      <c r="H15" s="26"/>
      <c r="I15" s="72">
        <v>45000.0</v>
      </c>
      <c r="J15" s="50">
        <v>0.0</v>
      </c>
      <c r="K15" s="26">
        <f t="shared" ref="K15:L15" si="2">M15+O15</f>
        <v>0</v>
      </c>
      <c r="L15" s="26">
        <f t="shared" si="2"/>
        <v>0</v>
      </c>
      <c r="M15" s="52">
        <v>0.0</v>
      </c>
      <c r="N15" s="52"/>
      <c r="O15" s="52">
        <v>0.0</v>
      </c>
      <c r="P15" s="52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6.5" customHeight="1">
      <c r="A16" s="26"/>
      <c r="B16" s="26"/>
      <c r="C16" s="26"/>
      <c r="D16" s="26"/>
      <c r="E16" s="26"/>
      <c r="F16" s="26"/>
      <c r="G16" s="26"/>
      <c r="H16" s="26"/>
      <c r="I16" s="72">
        <v>45001.0</v>
      </c>
      <c r="J16" s="50">
        <v>1.0</v>
      </c>
      <c r="K16" s="26">
        <f t="shared" ref="K16:L16" si="3">M16+O16</f>
        <v>0</v>
      </c>
      <c r="L16" s="26">
        <f t="shared" si="3"/>
        <v>0</v>
      </c>
      <c r="M16" s="52">
        <f t="shared" ref="M16:M22" si="5">$M$15*(1-1/$J$10*J16)</f>
        <v>0</v>
      </c>
      <c r="N16" s="52"/>
      <c r="O16" s="52">
        <f t="shared" ref="O16:O22" si="6">$O$15*(1-1/$J$10*J16)</f>
        <v>0</v>
      </c>
      <c r="P16" s="52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6.5" customHeight="1">
      <c r="A17" s="26"/>
      <c r="B17" s="26"/>
      <c r="C17" s="27" t="s">
        <v>257</v>
      </c>
      <c r="D17" s="28"/>
      <c r="E17" s="28"/>
      <c r="F17" s="28"/>
      <c r="G17" s="29"/>
      <c r="H17" s="26"/>
      <c r="I17" s="72">
        <v>45002.0</v>
      </c>
      <c r="J17" s="50">
        <v>2.0</v>
      </c>
      <c r="K17" s="26">
        <f t="shared" ref="K17:L17" si="4">M17+O17</f>
        <v>0</v>
      </c>
      <c r="L17" s="26">
        <f t="shared" si="4"/>
        <v>0</v>
      </c>
      <c r="M17" s="52">
        <f t="shared" si="5"/>
        <v>0</v>
      </c>
      <c r="N17" s="52"/>
      <c r="O17" s="52">
        <f t="shared" si="6"/>
        <v>0</v>
      </c>
      <c r="P17" s="52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6.5" customHeight="1">
      <c r="A18" s="26"/>
      <c r="B18" s="26"/>
      <c r="C18" s="30" t="s">
        <v>40</v>
      </c>
      <c r="D18" s="30" t="s">
        <v>41</v>
      </c>
      <c r="E18" s="30" t="s">
        <v>42</v>
      </c>
      <c r="F18" s="30" t="s">
        <v>43</v>
      </c>
      <c r="G18" s="30" t="s">
        <v>44</v>
      </c>
      <c r="H18" s="26"/>
      <c r="I18" s="72">
        <v>45003.0</v>
      </c>
      <c r="J18" s="50">
        <v>3.0</v>
      </c>
      <c r="K18" s="26">
        <f t="shared" ref="K18:L18" si="7">M18+O18</f>
        <v>0</v>
      </c>
      <c r="L18" s="26">
        <f t="shared" si="7"/>
        <v>0</v>
      </c>
      <c r="M18" s="52">
        <f t="shared" si="5"/>
        <v>0</v>
      </c>
      <c r="N18" s="52"/>
      <c r="O18" s="52">
        <f t="shared" si="6"/>
        <v>0</v>
      </c>
      <c r="P18" s="52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6.5" customHeight="1">
      <c r="A19" s="26"/>
      <c r="B19" s="26"/>
      <c r="C19" s="34" t="s">
        <v>247</v>
      </c>
      <c r="D19" s="34"/>
      <c r="E19" s="34"/>
      <c r="F19" s="35"/>
      <c r="G19" s="35"/>
      <c r="H19" s="26"/>
      <c r="I19" s="72">
        <v>45004.0</v>
      </c>
      <c r="J19" s="50">
        <v>4.0</v>
      </c>
      <c r="K19" s="26">
        <f t="shared" ref="K19:L19" si="8">M19+O19</f>
        <v>0</v>
      </c>
      <c r="L19" s="26">
        <f t="shared" si="8"/>
        <v>0</v>
      </c>
      <c r="M19" s="52">
        <f t="shared" si="5"/>
        <v>0</v>
      </c>
      <c r="N19" s="52"/>
      <c r="O19" s="52">
        <f t="shared" si="6"/>
        <v>0</v>
      </c>
      <c r="P19" s="52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6.5" customHeight="1">
      <c r="A20" s="26"/>
      <c r="B20" s="26"/>
      <c r="C20" s="34" t="s">
        <v>248</v>
      </c>
      <c r="D20" s="34"/>
      <c r="E20" s="34"/>
      <c r="F20" s="35"/>
      <c r="G20" s="35"/>
      <c r="H20" s="26"/>
      <c r="I20" s="72">
        <v>45005.0</v>
      </c>
      <c r="J20" s="50">
        <v>5.0</v>
      </c>
      <c r="K20" s="26">
        <f t="shared" ref="K20:L20" si="9">M20+O20</f>
        <v>0</v>
      </c>
      <c r="L20" s="26">
        <f t="shared" si="9"/>
        <v>0</v>
      </c>
      <c r="M20" s="52">
        <f t="shared" si="5"/>
        <v>0</v>
      </c>
      <c r="N20" s="52"/>
      <c r="O20" s="52">
        <f t="shared" si="6"/>
        <v>0</v>
      </c>
      <c r="P20" s="52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75" customHeight="1">
      <c r="A21" s="26"/>
      <c r="B21" s="26"/>
      <c r="C21" s="34" t="s">
        <v>249</v>
      </c>
      <c r="D21" s="34"/>
      <c r="E21" s="34"/>
      <c r="F21" s="35"/>
      <c r="G21" s="35"/>
      <c r="H21" s="26"/>
      <c r="I21" s="72">
        <v>45006.0</v>
      </c>
      <c r="J21" s="50">
        <v>6.0</v>
      </c>
      <c r="K21" s="26">
        <f t="shared" ref="K21:L21" si="10">M21+O21</f>
        <v>0</v>
      </c>
      <c r="L21" s="26">
        <f t="shared" si="10"/>
        <v>0</v>
      </c>
      <c r="M21" s="52">
        <f t="shared" si="5"/>
        <v>0</v>
      </c>
      <c r="N21" s="52"/>
      <c r="O21" s="52">
        <f t="shared" si="6"/>
        <v>0</v>
      </c>
      <c r="P21" s="52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5.75" customHeight="1">
      <c r="A22" s="26"/>
      <c r="B22" s="26"/>
      <c r="C22" s="34" t="s">
        <v>250</v>
      </c>
      <c r="D22" s="34"/>
      <c r="E22" s="34"/>
      <c r="F22" s="35"/>
      <c r="G22" s="35"/>
      <c r="H22" s="26"/>
      <c r="I22" s="72">
        <v>45007.0</v>
      </c>
      <c r="J22" s="50">
        <v>7.0</v>
      </c>
      <c r="K22" s="26">
        <f t="shared" ref="K22:L22" si="11">M22+O22</f>
        <v>0</v>
      </c>
      <c r="L22" s="26">
        <f t="shared" si="11"/>
        <v>0</v>
      </c>
      <c r="M22" s="52">
        <f t="shared" si="5"/>
        <v>0</v>
      </c>
      <c r="N22" s="52"/>
      <c r="O22" s="52">
        <f t="shared" si="6"/>
        <v>0</v>
      </c>
      <c r="P22" s="52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5.75" customHeight="1">
      <c r="A23" s="10"/>
      <c r="B23" s="26"/>
      <c r="C23" s="34" t="s">
        <v>251</v>
      </c>
      <c r="D23" s="34"/>
      <c r="E23" s="34"/>
      <c r="F23" s="35"/>
      <c r="G23" s="35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5.75" customHeight="1">
      <c r="A24" s="10"/>
      <c r="B24" s="26"/>
      <c r="C24" s="34" t="s">
        <v>252</v>
      </c>
      <c r="D24" s="34"/>
      <c r="E24" s="34"/>
      <c r="F24" s="35"/>
      <c r="G24" s="35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75" customHeight="1">
      <c r="A25" s="54"/>
      <c r="B25" s="26"/>
      <c r="C25" s="34" t="s">
        <v>253</v>
      </c>
      <c r="D25" s="34"/>
      <c r="E25" s="34"/>
      <c r="F25" s="35"/>
      <c r="G25" s="35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75" customHeight="1">
      <c r="A26" s="54"/>
      <c r="B26" s="26"/>
      <c r="C26" s="34" t="s">
        <v>254</v>
      </c>
      <c r="D26" s="34"/>
      <c r="E26" s="34"/>
      <c r="F26" s="35"/>
      <c r="G26" s="35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75" customHeight="1">
      <c r="A27" s="1"/>
      <c r="B27" s="26"/>
      <c r="C27" s="34" t="s">
        <v>255</v>
      </c>
      <c r="D27" s="34"/>
      <c r="E27" s="34"/>
      <c r="F27" s="35"/>
      <c r="G27" s="35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75" customHeight="1">
      <c r="A28" s="26"/>
      <c r="B28" s="26"/>
      <c r="C28" s="34" t="s">
        <v>256</v>
      </c>
      <c r="D28" s="34"/>
      <c r="E28" s="34"/>
      <c r="F28" s="35"/>
      <c r="G28" s="35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75" customHeight="1">
      <c r="A29" s="26"/>
      <c r="B29" s="26"/>
      <c r="C29" s="38" t="s">
        <v>38</v>
      </c>
      <c r="D29" s="38"/>
      <c r="E29" s="38"/>
      <c r="F29" s="40">
        <f t="shared" ref="F29:G29" si="12">SUM(F19:F28)</f>
        <v>0</v>
      </c>
      <c r="G29" s="40">
        <f t="shared" si="12"/>
        <v>0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5.75" customHeight="1">
      <c r="A37" s="1"/>
      <c r="B37" s="68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8.0" customHeight="1">
      <c r="A51" s="1"/>
      <c r="B51" s="68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8.0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8.0" customHeight="1">
      <c r="A63" s="1"/>
      <c r="B63" s="68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8.0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8.0" customHeight="1">
      <c r="A74" s="1"/>
      <c r="B74" s="68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8.0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75" customHeight="1">
      <c r="A87" s="1"/>
      <c r="B87" s="68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4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4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4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4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4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4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4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4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4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4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4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4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4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4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4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4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4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4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4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4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4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4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4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4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4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4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4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4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4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4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4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4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4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4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4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4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4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4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4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4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4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4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4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4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4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4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4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4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4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4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4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4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4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4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4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4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4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4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4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4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4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4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4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4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4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4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4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4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4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4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4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4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4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4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4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4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4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4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4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4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4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4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4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4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4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4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4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4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4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4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4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4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4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4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4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4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4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4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4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4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4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4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4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4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4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4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4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4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4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4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4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4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4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4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4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4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4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4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4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4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4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4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4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4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4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4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4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4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4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4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4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4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4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4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4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4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4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4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4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4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4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4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4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4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4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4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4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4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4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4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4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4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4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4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4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4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4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4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4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4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4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4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4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4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4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4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4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4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4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4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4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4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4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4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4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4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4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4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4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4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4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4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4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4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4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4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4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4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4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4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4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4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4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4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4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4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4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4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4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4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4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4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4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4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4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4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4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4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4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4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4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4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4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4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4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4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4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4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4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4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4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4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4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4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4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4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4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4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4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4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4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4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4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4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4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4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4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4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4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4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4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4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4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4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4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4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4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4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4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4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4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4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4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4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4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4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4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4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4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4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4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4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4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4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4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4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4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4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4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4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4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4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4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4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4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4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4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4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4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4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4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4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4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4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4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4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4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4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4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4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4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4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4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4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4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4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4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4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4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4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4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4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4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4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4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4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4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4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4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4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4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4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4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4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4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4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4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4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4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4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4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4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4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4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4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4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4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4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4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4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4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4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4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4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4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4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4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4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4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4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4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4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4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4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4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4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4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4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4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4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4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4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4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4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4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4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4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4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4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4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4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4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4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4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4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4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4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4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4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4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4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4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4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4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4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4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4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4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4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4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4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4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4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4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4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4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4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4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4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4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4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4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4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4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4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4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4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4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4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4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4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4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4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4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4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4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4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4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4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4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4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4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4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4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4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4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4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4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4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4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4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4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4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4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4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4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4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4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4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4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4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4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4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4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4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4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4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4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4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4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4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4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4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4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4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4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4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4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4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4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4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4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4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4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4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4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4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4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4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4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4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4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4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4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4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4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4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4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4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4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4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4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4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4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4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4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4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4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4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4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4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4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4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4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4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4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4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4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4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4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4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4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4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4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4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4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4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4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4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4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4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4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4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4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4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4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4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4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4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4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4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4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4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4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4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4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4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4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4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4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4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4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4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4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4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4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4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4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4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4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4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4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4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4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4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4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4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4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4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4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4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4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4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4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4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4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4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4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4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4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4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4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4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4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4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4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4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4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4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4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4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4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4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4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4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4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4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4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4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4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4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4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4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4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4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4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4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4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4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4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4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4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4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4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4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4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4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4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4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4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4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4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4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4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4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4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4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4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4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4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4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4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4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4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4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4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4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4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4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4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4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4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4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4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4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4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4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4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4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4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4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4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4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4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4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4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4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4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4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4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4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4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4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4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4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4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4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4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4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4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4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4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4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4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4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4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4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4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4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4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4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4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4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4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4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4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4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4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4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4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4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4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4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4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4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4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4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4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4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4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4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4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4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4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4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4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4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4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4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4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4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4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4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4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4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4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4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4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4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4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4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4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4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4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4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4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4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4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4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4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4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4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4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4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4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4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4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4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4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4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4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4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4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4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4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4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4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4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4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4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4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4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4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4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4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4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4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4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4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4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4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4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4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4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4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4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4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4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4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4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4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4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4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4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4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4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4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4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4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4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4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4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4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4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4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4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4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4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4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4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4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4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4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4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4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4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4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4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4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4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4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4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4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4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4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4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4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4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4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4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4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4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4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4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4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4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4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4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4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4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4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4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4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4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4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4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4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4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4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4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4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4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4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4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4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4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4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4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4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4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4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4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4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4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4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4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4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4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4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4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4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4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4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4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4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4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4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4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4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4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4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4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4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4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4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4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4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4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4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4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4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4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4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4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4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4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4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4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4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4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4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4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4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4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4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4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4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4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4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4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4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4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4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4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4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4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4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4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4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4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4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4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4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4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4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4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4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4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4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4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4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4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4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4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4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4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4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4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4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4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4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4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4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4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4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4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13">
    <mergeCell ref="A14:B14"/>
    <mergeCell ref="A37:B37"/>
    <mergeCell ref="A51:B51"/>
    <mergeCell ref="A63:B63"/>
    <mergeCell ref="A74:B74"/>
    <mergeCell ref="A87:B87"/>
    <mergeCell ref="C2:G2"/>
    <mergeCell ref="K12:N12"/>
    <mergeCell ref="K13:L13"/>
    <mergeCell ref="M13:N13"/>
    <mergeCell ref="O13:P13"/>
    <mergeCell ref="I14:J14"/>
    <mergeCell ref="C17:G17"/>
  </mergeCells>
  <conditionalFormatting sqref="I15:J21">
    <cfRule type="expression" dxfId="0" priority="1">
      <formula>LEN(TRIM(I15))&gt;0</formula>
    </cfRule>
  </conditionalFormatting>
  <conditionalFormatting sqref="I22:J22">
    <cfRule type="expression" dxfId="0" priority="2">
      <formula>LEN(TRIM(I22))&gt;0</formula>
    </cfRule>
  </conditionalFormatting>
  <printOptions/>
  <pageMargins bottom="0.3" footer="0.0" header="0.0" left="0.7" right="0.7" top="0.3"/>
  <pageSetup paperSize="9" orientation="portrait"/>
  <drawing r:id="rId1"/>
</worksheet>
</file>