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IT1" sheetId="2" r:id="rId6"/>
    <sheet state="visible" name="IT2" sheetId="3" r:id="rId7"/>
    <sheet state="visible" name="IT3" sheetId="4" r:id="rId8"/>
    <sheet state="visible" name="IT4" sheetId="5" r:id="rId9"/>
  </sheets>
  <definedNames>
    <definedName name="IT3H12">#REF!</definedName>
    <definedName name="IT4H13">#REF!</definedName>
    <definedName name="IT3H11">#REF!</definedName>
    <definedName name="IT4H3">#REF!</definedName>
    <definedName name="IT2H11">#REF!</definedName>
    <definedName name="IT2H4">#REF!</definedName>
    <definedName name="IT1H4">'IT1'!$E$44</definedName>
    <definedName name="IT3H13">#REF!</definedName>
    <definedName name="IT2H8">#REF!</definedName>
    <definedName name="IT2H5">#REF!</definedName>
    <definedName name="IT2H12">#REF!</definedName>
    <definedName name="IT4H9">#REF!</definedName>
    <definedName name="IT3H2">#REF!</definedName>
    <definedName name="IT1H10">'IT1'!$E$76</definedName>
    <definedName name="IT1H6">'IT1'!$E$51</definedName>
    <definedName name="IT3H5">#REF!</definedName>
    <definedName name="IT4H11">#REF!</definedName>
    <definedName name="IT1H3">'IT1'!$E$34</definedName>
    <definedName name="IT2H10">#REF!</definedName>
    <definedName name="IT2H13">#REF!</definedName>
    <definedName name="IT2H3">#REF!</definedName>
    <definedName name="IT4H7">#REF!</definedName>
    <definedName name="IT3H4">#REF!</definedName>
    <definedName name="IT4H4">#REF!</definedName>
    <definedName name="IT2H7">#REF!</definedName>
    <definedName name="IT4H1">#REF!</definedName>
    <definedName name="IT4H6">#REF!</definedName>
    <definedName name="IT3H1">#REF!</definedName>
    <definedName name="IT3H10">#REF!</definedName>
    <definedName name="IT2H6">#REF!</definedName>
    <definedName name="IT4H8">#REF!</definedName>
    <definedName name="IT4H10">#REF!</definedName>
    <definedName name="IT2H2">#REF!</definedName>
    <definedName name="IT1H12">'IT1'!$E$86</definedName>
    <definedName name="IT2H1">#REF!</definedName>
    <definedName name="IT2H9">#REF!</definedName>
    <definedName name="IT1H2">'IT1'!$E$17</definedName>
    <definedName name="IT3H9">#REF!</definedName>
    <definedName name="IT4H12">#REF!</definedName>
    <definedName name="IT1H9">'IT1'!$E$69</definedName>
    <definedName name="IT1H11">'IT1'!$E$79</definedName>
    <definedName name="IT4H2">#REF!</definedName>
    <definedName name="IT3H8">#REF!</definedName>
    <definedName name="IT3H7">#REF!</definedName>
    <definedName name="IT3H6">#REF!</definedName>
    <definedName name="IT4H5">#REF!</definedName>
    <definedName name="IT3H3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8">
      <text>
        <t xml:space="preserve">ce qui reste à faire selon nos estimation pour cette itération
terminer chat (26) + terminer défier un autre joueur (25)
</t>
      </text>
    </comment>
  </commentList>
</comments>
</file>

<file path=xl/sharedStrings.xml><?xml version="1.0" encoding="utf-8"?>
<sst xmlns="http://schemas.openxmlformats.org/spreadsheetml/2006/main" count="990" uniqueCount="353">
  <si>
    <t>Estimation IT1</t>
  </si>
  <si>
    <t>Estimation IT2</t>
  </si>
  <si>
    <t>Estimation IT3</t>
  </si>
  <si>
    <t>Estimation IT4</t>
  </si>
  <si>
    <t>Fin</t>
  </si>
  <si>
    <t>Histoire 1</t>
  </si>
  <si>
    <t>Histoire 2</t>
  </si>
  <si>
    <t>Histoire 3</t>
  </si>
  <si>
    <t>Histoire 4</t>
  </si>
  <si>
    <t>Histoire 5</t>
  </si>
  <si>
    <t>Histoire 6</t>
  </si>
  <si>
    <t>Histoire 7</t>
  </si>
  <si>
    <t>Histoire 8</t>
  </si>
  <si>
    <t>Histoire 9</t>
  </si>
  <si>
    <t>Histoire 10</t>
  </si>
  <si>
    <t>Histoire 11</t>
  </si>
  <si>
    <t>Histoire 12</t>
  </si>
  <si>
    <t>Histoire 13</t>
  </si>
  <si>
    <t>Histoire 14</t>
  </si>
  <si>
    <t>Histoire 15</t>
  </si>
  <si>
    <t>Histoire 16</t>
  </si>
  <si>
    <t>Histoire 17</t>
  </si>
  <si>
    <t>Histoire 18</t>
  </si>
  <si>
    <t>Histoire 19</t>
  </si>
  <si>
    <t>Histoire 20</t>
  </si>
  <si>
    <t>Histoire 21</t>
  </si>
  <si>
    <t>Histoire 22</t>
  </si>
  <si>
    <t>Histoire 23</t>
  </si>
  <si>
    <t>Histoire 24</t>
  </si>
  <si>
    <t>Histoire 25</t>
  </si>
  <si>
    <t>Histoire 26</t>
  </si>
  <si>
    <t>Histoire 27</t>
  </si>
  <si>
    <t>Histoire 28</t>
  </si>
  <si>
    <t>Estimation</t>
  </si>
  <si>
    <t>Itération 1</t>
  </si>
  <si>
    <t>Itération 2</t>
  </si>
  <si>
    <t>Itération 3</t>
  </si>
  <si>
    <t>Itération 4</t>
  </si>
  <si>
    <t>Total</t>
  </si>
  <si>
    <t>REMARQUES</t>
  </si>
  <si>
    <t>Nous avons fini (mais ne sont pas affichées):</t>
  </si>
  <si>
    <t>- Histoire Complémentaire A : Crée une base de donnée</t>
  </si>
  <si>
    <t>- Histoire Complémentaire C : Se trouver des copains</t>
  </si>
  <si>
    <t>- Histoire Bonus A : Bouton arrêter la tour du NO</t>
  </si>
  <si>
    <t>HISTOIRE 1 (Constituer une equipe)</t>
  </si>
  <si>
    <t>Tâches</t>
  </si>
  <si>
    <t>Pilote</t>
  </si>
  <si>
    <t>Copilote</t>
  </si>
  <si>
    <t>Points réels</t>
  </si>
  <si>
    <t>Points estimés</t>
  </si>
  <si>
    <t>Vélocité :</t>
  </si>
  <si>
    <t>Parse fichiers json des bugemons, charger les sprites</t>
  </si>
  <si>
    <t>Daniel.B</t>
  </si>
  <si>
    <t>Zia</t>
  </si>
  <si>
    <t>Total Points réel :</t>
  </si>
  <si>
    <t>une grille avec tous les bugemons disponibles</t>
  </si>
  <si>
    <t>Rugile</t>
  </si>
  <si>
    <t>Oleksandra</t>
  </si>
  <si>
    <t>Total Points estimé :</t>
  </si>
  <si>
    <t>on ne peut choisir un bugemon qu’une seule fois pour l’équipe </t>
  </si>
  <si>
    <t>Afficher les sprites des bugemons et montrer graphiquement qu’on ne peut en choisir qu’un seul</t>
  </si>
  <si>
    <t>Abdal</t>
  </si>
  <si>
    <t>Clement</t>
  </si>
  <si>
    <t>connecter interface avec reste du code</t>
  </si>
  <si>
    <t>HISTOIRE 4 (Combat automatique)</t>
  </si>
  <si>
    <t>Nombre de jours :</t>
  </si>
  <si>
    <t>Lancer un combat avec l’équipe de bugemon choisis.</t>
  </si>
  <si>
    <t>Contrôle de combat (classe Battle)</t>
  </si>
  <si>
    <t>Alexis</t>
  </si>
  <si>
    <t>Sam</t>
  </si>
  <si>
    <t>REFACTOR</t>
  </si>
  <si>
    <t>Gestion des attaques</t>
  </si>
  <si>
    <t>Jour</t>
  </si>
  <si>
    <t>Idéal</t>
  </si>
  <si>
    <t>Réel</t>
  </si>
  <si>
    <t>Gestion des dégâts</t>
  </si>
  <si>
    <t>Initiative (qui joue en premier)</t>
  </si>
  <si>
    <t>Gestion des états (Bugémon KO, fin de partie, …)</t>
  </si>
  <si>
    <t>L’équipe adverse est générée aléatoirement avec le même nombre de bugemon et plus ou moins les mêmes stats que l’équipe du joueur. </t>
  </si>
  <si>
    <t>Les actions du joueur se font automatiquement avec un certain temps d’attente entre chaque action (par ex : 1 seconde). (FAIRE DES THREAD)</t>
  </si>
  <si>
    <t>/</t>
  </si>
  <si>
    <t>affichage de la fenêtre de combat avec boutons et bugemons</t>
  </si>
  <si>
    <t>Selection de Bugemons attachee a l’interface Battle</t>
  </si>
  <si>
    <t>attacher les buttons aux fonctionnalités </t>
  </si>
  <si>
    <t>Menu choix du type de combat (automatique ou contrôle des actions)</t>
  </si>
  <si>
    <t>Contrôle de combat (Controller)    (temps mis 30min)</t>
  </si>
  <si>
    <t>- Sélectionner une attaque aléatoire </t>
  </si>
  <si>
    <t>Gestion de fin de combat, cad gain en XP, stats, …  (temps mis 1h30min)</t>
  </si>
  <si>
    <t>Contrôle de combat (Controller)</t>
  </si>
  <si>
    <t>- Filtrer les Bugémons qui reçoivent de l'XP (uniquement ceux envoyés sur le terrain)</t>
  </si>
  <si>
    <t>L’adversaire continue de jouer automatiquement (attaque aléatoire, changement aléatoire si K.O.) </t>
  </si>
  <si>
    <t>Interface:</t>
  </si>
  <si>
    <t>- Générer messages/log</t>
  </si>
  <si>
    <t>- Afficher nom, sprite, PV</t>
  </si>
  <si>
    <t>HISTOIRE 5 (Contrôle des actions)</t>
  </si>
  <si>
    <t>À chaque tour, au lieu de choisir automatiquement, le jeu présente au joueur 4 options :</t>
  </si>
  <si>
    <t>- 1. Attaquer : affiche un sous-menu avec les 3 attaques du Bugémon actif. Le joueur sélectionne l’attaque à utiliser.</t>
  </si>
  <si>
    <t>- 2. Changer : affiche la liste des Bugémons disponibles dans l’équipe. Le joueur sélectionne quel Bugémon envoyer.</t>
  </si>
  <si>
    <t>- 3. Objet : affiche l’inventaire (si la fonctionnalité est déjà implémentée) et permet de choisir un objet à utiliser.</t>
  </si>
  <si>
    <t>- 4. Abandonner : termine immédiatement le combat (défaite).</t>
  </si>
  <si>
    <t>Lorsqu’un Bugémon du joueur est K.O., le jeu affiche obligatoirement la liste des Bugémons disponibles pour que le joueur choisisse lequel envoyer.</t>
  </si>
  <si>
    <t>Interface</t>
  </si>
  <si>
    <t>Gestion des tours (une action par tour,...)</t>
  </si>
  <si>
    <t>Gérer effets avec cible “equipe”</t>
  </si>
  <si>
    <t>HISTOIRE 6 (Calcul des dégâts)</t>
  </si>
  <si>
    <t>Le calcul de dégâts est remplacé par la formule complète définie dans Section 3.2.3</t>
  </si>
  <si>
    <t>Effets des attaques</t>
  </si>
  <si>
    <t>Le type de chaque Bugémon est visible (icône ou couleur)</t>
  </si>
  <si>
    <t>Le type de chaque attaque est affiché dans le menu de sélection (icône ou couleur)</t>
  </si>
  <si>
    <t>Lors de la sélection d’une attaque, un indicateur montre l’efficacité prévue :</t>
  </si>
  <si>
    <t>- « Super efficace ! » (vert) si multiplicateur = 1.5</t>
  </si>
  <si>
    <t>- « Peu efficace… » (rouge) si multiplicateur = 0.75</t>
  </si>
  <si>
    <t>- Rien de spécial si multiplicateur = 1.0</t>
  </si>
  <si>
    <t>HISTOIRE 7 (Expérience et montée de niveau)</t>
  </si>
  <si>
    <t>À chaque montée de niveau :</t>
  </si>
  <si>
    <t>Ses PV sont automatiquement restaurés au maximum</t>
  </si>
  <si>
    <t>Le joueur choisit un bonus parmi 3 options proposées aléatoirement :</t>
  </si>
  <si>
    <t>- +20 HP maximum</t>
  </si>
  <si>
    <t>- +10 Attaque</t>
  </si>
  <si>
    <t>- +10 Défense</t>
  </si>
  <si>
    <t>- +20 Initiative</t>
  </si>
  <si>
    <t>- Combinaisons générée aléatoirement; le total doit valoir 10 points et 1 point correspond à 2 HP ou 2 Initiative ou 1 Attaque ou 1 Défense(ex: +5 Attaque et +5 Défense)</t>
  </si>
  <si>
    <t>Bonus de montée de niveau</t>
  </si>
  <si>
    <t>- Niveau du Bugemon</t>
  </si>
  <si>
    <t>- Menu de choix de bonus</t>
  </si>
  <si>
    <t>HISTOIRE 9 (Structure du NO)</t>
  </si>
  <si>
    <t>Une partie du jeu = Un run du Donjon </t>
  </si>
  <si>
    <t>On choisit l’équipe au début du donjon et on la garde jusqu’au bout</t>
  </si>
  <si>
    <t>Interface graphique libre (on a le choix), pas de notion de carte</t>
  </si>
  <si>
    <t>L’équipe se régénère totalement à la fin de chaque combat</t>
  </si>
  <si>
    <t>SUPPLÉMENTAIRE: Bouton permettant d’arrêter la partie (donc d’abandonner l'ascension de la tour NO). Diffère du bouton “fuite” qui ne fait que abandonner le combat en cours, sans finir la partie.</t>
  </si>
  <si>
    <t>HISTOIRE 10 (Utiliser um objet)</t>
  </si>
  <si>
    <t>Parse fichier json objets</t>
  </si>
  <si>
    <t>Controller: utilisation des objets &amp; inventaire</t>
  </si>
  <si>
    <t>Gestion des effets des objets</t>
  </si>
  <si>
    <t>Consomme le tour du joueur qui l’utilise.</t>
  </si>
  <si>
    <t>Empêcher les PV d’augmenter plus haut ques les PV max en utilisant un objet (2h30)</t>
  </si>
  <si>
    <t>Daniel.C</t>
  </si>
  <si>
    <t>Interface: bouton pour utiliser objet + menu choix objets</t>
  </si>
  <si>
    <t>Effets revert après 1 tour dans BattleController en gardant une sorte de TTL de tous les effets actuels</t>
  </si>
  <si>
    <t>Empêcher qu’un objet disparaisse si on ne peut l’utiliser</t>
  </si>
  <si>
    <t>Gestion de l’objet swap qui ne consomme pas le tour</t>
  </si>
  <si>
    <t>Mettre à jour JUnit 5 sur toutes les branches  (Temps mis : 45min)</t>
  </si>
  <si>
    <t>Mettre à jour Google Docs (Temps mis: 1h00)</t>
  </si>
  <si>
    <t>Update checkTeamKO(), gère des équipes de 1 à 6 maintenant (Temps: 30min)</t>
  </si>
  <si>
    <t>homogenéiser effects (value/modifier -&gt; modifiers, String -&gt; ENUM)</t>
  </si>
  <si>
    <t>refactor tests objets avec samples et les decaler de TestBattleController a TestItems</t>
  </si>
  <si>
    <t>Supprimer Bugemon.getId(), ou le renommer en Bugemon.getSpeciesId() (petite tâche)</t>
  </si>
  <si>
    <t>Déplacer les parsers dans la couche repository (temps mis : 5min)</t>
  </si>
  <si>
    <t>Chargement des items (temps mis : 2h)</t>
  </si>
  <si>
    <t>Chargement des abilités (temps mis : 4h30)</t>
  </si>
  <si>
    <t>Chargement des bugémons (temps mis : 1h30)</t>
  </si>
  <si>
    <t>Créer un nouveau sous-module json.parser pour mieux marquer la distinction entre loaders et parsers (temps mis : 20min)</t>
  </si>
  <si>
    <t>BugemonService</t>
  </si>
  <si>
    <t>ItemService</t>
  </si>
  <si>
    <t>Chargement et injection des services (besoin de tirer au clair l’architecture du programme avant de faire ça)</t>
  </si>
  <si>
    <t>Supprimer BugemonDatabase, AbilityDatabase, model.sample, etc. (grosse tâche)</t>
  </si>
  <si>
    <t>Supprimer les constructeurs dépréciés de Bugemon (grosse tâche)</t>
  </si>
  <si>
    <t>Refactor BattleController, BattleSnashot et Battle en fonction du diagramme</t>
  </si>
  <si>
    <t>Créer useAction dans Battle</t>
  </si>
  <si>
    <t>Afficher les logs (“bugemon attaque, fait x dégats, …”) dans la view</t>
  </si>
  <si>
    <t>instancier BattleController et battle (via des threads pour BattleController)</t>
  </si>
  <si>
    <t>Déplacer le choix random des actions dans Strategy et l’instancier au début du combat</t>
  </si>
  <si>
    <t>Griser les actions non disponibles dans la view</t>
  </si>
  <si>
    <t>HISTOIRE 5 (Contrôle des Actions)</t>
  </si>
  <si>
    <t>Afficher la fenêtre de switch après la mort</t>
  </si>
  <si>
    <t>Bug après mort du Bugémon adversaire</t>
  </si>
  <si>
    <t>Bug de menu de switch (après avoir switch) + bouton retour désactivé</t>
  </si>
  <si>
    <t>HISTOIRE 6 (Calcul de Dégats)</t>
  </si>
  <si>
    <t>Points restants</t>
  </si>
  <si>
    <t>Afficher les messages d'efficacité</t>
  </si>
  <si>
    <t>Multijoueur : serveur-client</t>
  </si>
  <si>
    <t>Refactor</t>
  </si>
  <si>
    <t>Divers</t>
  </si>
  <si>
    <t>HISTOIRE 7 (Expérience et Montée de Niveau : Choix de Récompenses)</t>
  </si>
  <si>
    <t>Génération aléatoire des trois récompenses</t>
  </si>
  <si>
    <t>Menu de choix de la récompense</t>
  </si>
  <si>
    <t>Rugilé</t>
  </si>
  <si>
    <t>Combinaisons générée aléatoirement (le total doit valoir 10 points et 1 point correspond à 2 HP ou 2 Initiative ou 1 Attaque ou 1 Défense)</t>
  </si>
  <si>
    <t>Wael</t>
  </si>
  <si>
    <t>Connecter récompenses à l’interface</t>
  </si>
  <si>
    <t>Connecter au reste du code</t>
  </si>
  <si>
    <t>Afficher XP total obtenu après un combat</t>
  </si>
  <si>
    <t>Afficher XP obtenu par chaque bugemon après un combat</t>
  </si>
  <si>
    <t>Ne pas générer plusieurs fois le même reward</t>
  </si>
  <si>
    <t>HISTOIRE 9 (Tour du NO)</t>
  </si>
  <si>
    <t>Établir les bases du modèle (Tower, Floor, Room)</t>
  </si>
  <si>
    <t>Établir les bases du contrôleur (TowerManager, …)</t>
  </si>
  <si>
    <t>Passer au combat suivant</t>
  </si>
  <si>
    <t>Connecter étage/final boss avec les XP gagnés dans un combat</t>
  </si>
  <si>
    <t>Faire les Rooms récompense</t>
  </si>
  <si>
    <t>Afficher “étage suivant” quand on change d'étage + afficher nombre d'étage et de room dans la room récompense</t>
  </si>
  <si>
    <t>Possibilité de choisir le mode de jeu une fois la team choisie (auto, controle, tour)</t>
  </si>
  <si>
    <t>fix premier niveau qui se répète deux fois</t>
  </si>
  <si>
    <t>ajout de la fenêtre victoire pour la fin</t>
  </si>
  <si>
    <t>modifier le bouton fuite dans la tour pour abandonner le combat et pas toute la partie</t>
  </si>
  <si>
    <t>ajout de bouton pour quitter tour du NO</t>
  </si>
  <si>
    <t>Rechercher une librairie / créer un format pour les interactions client / serveur</t>
  </si>
  <si>
    <t>Planifier la structure du code en client / serveur</t>
  </si>
  <si>
    <t>Clément</t>
  </si>
  <si>
    <t>Classe Message: classe transformable en json (ou autre) qui contient des messages envoyés entre View et Controller</t>
  </si>
  <si>
    <t>Classes &amp; Interfaces Messengers : classes qui envoient les messages View &lt;-&gt; Controller</t>
  </si>
  <si>
    <t>Établir la connection serveur / client + afficher dans le terminal</t>
  </si>
  <si>
    <t>English -&gt; français dans le jeu</t>
  </si>
  <si>
    <t>Uniformiser le nom des tests</t>
  </si>
  <si>
    <t>Refactor la classe Battle en plus petites classes</t>
  </si>
  <si>
    <t>Planifier la refactor du code en bon MVC</t>
  </si>
  <si>
    <t>Everyone</t>
  </si>
  <si>
    <t>Planifier refactor communication View - Controller</t>
  </si>
  <si>
    <t>Sam + Daniel.C</t>
  </si>
  <si>
    <t>Refactor initialisation GameController + passage de GameController aux Windows</t>
  </si>
  <si>
    <t xml:space="preserve">Replanifier le menu initial pour avoir “Mode Solo”, “Multijoueur”, “Équipe” et “Quitter” </t>
  </si>
  <si>
    <t>fix repository</t>
  </si>
  <si>
    <t>Repository: Simplifier la structure du repository</t>
  </si>
  <si>
    <t>Supprimer les classes Database et Sample</t>
  </si>
  <si>
    <t>Battle : Refactor de handleActionFinished qui set le bugemon adverse alors que c’est à strategy de le faire</t>
  </si>
  <si>
    <t xml:space="preserve"> </t>
  </si>
  <si>
    <t>Couper applyEffect en sous-fonctions (Nettoyage Classe Battle)</t>
  </si>
  <si>
    <t>Sortir la logique d’application d’effets de la classe Battle (Nettoyage Classe Battle)</t>
  </si>
  <si>
    <t>Sortir la logique d’application d’abilités de la classe Battle (Nettoyage Classe Battle)</t>
  </si>
  <si>
    <t>Créer des EffectList pour les abilités (Nettoyage Classe Battle)</t>
  </si>
  <si>
    <t>Polymorphiser la classe Effect (Nettoyage Classe Battle)</t>
  </si>
  <si>
    <t>Créer une classe BattleParticipant pour réduire la duplication de code (Nettoyage Classe Battle)</t>
  </si>
  <si>
    <t>Sortir la logique d’application des actions des classes Battle / BattleController (Nettoyage Classe Battle)</t>
  </si>
  <si>
    <t>début refactor : template pour implémentation de message et intéraction Vue &lt;-&gt; Contrôleur (Refactor V&lt;-&gt;C)</t>
  </si>
  <si>
    <t>utilisation de messages: SwitchWindow, GetInfo, SetupTeam, SetupGameMode (Refactor V&lt;-&gt;C)</t>
  </si>
  <si>
    <t>ViewManager qui s’occupe de switch les fenêtres et transmettre les messages de la vue au contrôleur (Refactor V&lt;-&gt;C)</t>
  </si>
  <si>
    <t>centralisation des windows avec le parent Window (Refactor V&lt;-&gt;C)</t>
  </si>
  <si>
    <t>initialisation de l’application dans main (au lieu de App et MainWindow), scaling de la fenêtre dans utils, handleMessage dans GameController, sendMessage dans Window (Refactor V&lt;-&gt;C)</t>
  </si>
  <si>
    <t>ajouter enum pour type de Message pour que l’interface Message ne soit pas vide et pour pouvoir utiliser des switch case au lieu de if instanceof (Refactor V&lt;-&gt;C)</t>
  </si>
  <si>
    <t>bouger tous les switch window de GameController à ViewManager</t>
  </si>
  <si>
    <t>bouger switchToBattleEnd de GameController à ViewManager (Refactor V&lt;-&gt;C)</t>
  </si>
  <si>
    <t>bouger switchToLevelUpWindow de GameController à ViewManager (Refactor V&lt;-&gt;C)</t>
  </si>
  <si>
    <t>BattleWindow (messages pour les actions, fin de partie, pas de new StrategyRandom, pas de new Thread, …) (Refactor V&lt;-&gt;C)</t>
  </si>
  <si>
    <t xml:space="preserve"> Rugile</t>
  </si>
  <si>
    <t xml:space="preserve"> Daniel.B</t>
  </si>
  <si>
    <t>refactor BattleWindow en plus petite classes et fonctions (Refactor V&lt;-&gt;C)</t>
  </si>
  <si>
    <t>FloorRewardWindow (bouger SwitchToNextRoomWindow à ViewManager) (Refactor V&lt;-&gt;C)</t>
  </si>
  <si>
    <t>LevelUpWindow (message pour indiquer la récompense choisie) (Refactor V&lt;-&gt;C)</t>
  </si>
  <si>
    <t>NextRoomWindow (message pour switch de room) (Refactor V&lt;-&gt;C)</t>
  </si>
  <si>
    <t>refactor BattleEnd, manuel abilities et auto (Refactor V&lt;-&gt;C)</t>
  </si>
  <si>
    <t>fix sélection plus de 6 bugemons dans CreateTeamWindow</t>
  </si>
  <si>
    <t>button cacher lors de selection de 6 bugémons</t>
  </si>
  <si>
    <t>Ajout d’un bouton retour en arrière dans le BattleModeWindow</t>
  </si>
  <si>
    <t>Ajouter un petit délai lorsqu’on tue un bugémon et que la partie est finie</t>
  </si>
  <si>
    <t>Fix app ne se ferme pas correctement</t>
  </si>
  <si>
    <t xml:space="preserve"> Daniel.C</t>
  </si>
  <si>
    <t>Divers (heures supp)</t>
  </si>
  <si>
    <t>Mise à jour de Battle par rapport à main</t>
  </si>
  <si>
    <t>Mise à jour esthétique de l’interface</t>
  </si>
  <si>
    <t>Meilleur message de jeu</t>
  </si>
  <si>
    <t>HISTOIRE 11 (Récompense d'Étage)</t>
  </si>
  <si>
    <t>Créer un objet aléatoire (avait déjà été fait)</t>
  </si>
  <si>
    <t>Ajouter objet random a l’inventaire si bouton clique</t>
  </si>
  <si>
    <t>Sacha</t>
  </si>
  <si>
    <t>Créer une compétence aléatoire</t>
  </si>
  <si>
    <t>Abilities propres à chaque Bugemon</t>
  </si>
  <si>
    <t>Donner le choix du bugemon pour les reward Stats et Attaques</t>
  </si>
  <si>
    <t>Interface de remplacement d’attaque</t>
  </si>
  <si>
    <t>Affichage objet qu'on reçoit</t>
  </si>
  <si>
    <t>Rugilė</t>
  </si>
  <si>
    <t>Ajout background pour window récompense d'attaque et window</t>
  </si>
  <si>
    <t>Limitation des attaques disponible (seul les attaques du type de bugemons sont disponibles)</t>
  </si>
  <si>
    <t>Histoire Comp.A</t>
  </si>
  <si>
    <t>Histoire Comp.C</t>
  </si>
  <si>
    <t>HISTOIRE Complémentaire A (Créer une Base de Données)</t>
  </si>
  <si>
    <t>Trouver le langage</t>
  </si>
  <si>
    <t>Etablir la connexion avec la BDD</t>
  </si>
  <si>
    <t>Créer les tables</t>
  </si>
  <si>
    <t>Tables dans la base de données (fonctionnalités déjà existantes en JSON (Item, Ability et BugemonSpecies)</t>
  </si>
  <si>
    <t>Classes du repository (fonctionnalités déjà existantes en JSON (Item, Ability et BugemonSpecies)</t>
  </si>
  <si>
    <t>Création de compte + login (fonctionnalités multijoueur)</t>
  </si>
  <si>
    <t>Player (fonctionnalités multijoueur)</t>
  </si>
  <si>
    <t>Friends (fonctionnalités multijoueur)</t>
  </si>
  <si>
    <t>Interface pour le login</t>
  </si>
  <si>
    <t>Fix Interface pour login</t>
  </si>
  <si>
    <t>HISTOIRE Complémentaire C (Liste d'Amis)</t>
  </si>
  <si>
    <t>Nouvelle fenetre avec nos amis permettant de les inviter en combat</t>
  </si>
  <si>
    <t>Connecter la fenêtre amis a la BDD</t>
  </si>
  <si>
    <t>Barre de recherche pour trouver des amis grâce à leur pseudonyme/code ami</t>
  </si>
  <si>
    <t>Connecter la barre de recherches</t>
  </si>
  <si>
    <t>Notification du côté de la personne invitée</t>
  </si>
  <si>
    <t>Connecter avec le chat, etc.</t>
  </si>
  <si>
    <t>HISTOIRE 25 (Défier un Autre Joueur)</t>
  </si>
  <si>
    <t>Créer des DTO pour les classes à faire passer dans le socket</t>
  </si>
  <si>
    <t>Créer les mappeurs pour les DTO</t>
  </si>
  <si>
    <t>View utilise les DTO au lieux des objets classiques</t>
  </si>
  <si>
    <t>Déplacer la création de Team dans le server</t>
  </si>
  <si>
    <t>Faire afficher la Battle Window en utilisant le serveur</t>
  </si>
  <si>
    <t>Faire afficher la Register Window en utilisant le serveur</t>
  </si>
  <si>
    <t>Déplacer les actions dans le serveur</t>
  </si>
  <si>
    <t>Déplacer Tour NO dans serveur</t>
  </si>
  <si>
    <t>Ajouter Fenêtres de fin de combat</t>
  </si>
  <si>
    <t>Quand on perd une partie (dans la tour du NO), le jeux considère qu'on la gagne quand même (Fix de Bugs)</t>
  </si>
  <si>
    <t>La LevelUpWindow doit encore être implémentée (Fix de Bugs)</t>
  </si>
  <si>
    <t>Les Bugemons du joueur sont au niveau 0 (Fix de Bugs)</t>
  </si>
  <si>
    <t>L'inventaire du joueur est vide (Fix de Bugs)</t>
  </si>
  <si>
    <t>Quand on fait une partie NO et qu'on quitte, on ne peut pas relancer une partie après (la battle dans ClientHandler n'est pas mise à null) (Fix de Bugs)</t>
  </si>
  <si>
    <t>Quand on perd en mode classique, ça envoie à la nextRoomWindow au lieu de la battleEndWindow (Fix de Bugs)</t>
  </si>
  <si>
    <t>Le Bugemon Switch s’affiche en retard et ses PV descendent dés le début (Fix de Bugs)</t>
  </si>
  <si>
    <t>Bloquer Bugemon dans Switch si KO (Fix de Bugs)</t>
  </si>
  <si>
    <t>A partir de la fenêtre d’ami, l’inviter en combat en envoyant une notification (Créer une invitation pour faire un combat entre amis)</t>
  </si>
  <si>
    <t>Être capable d’accepter et rejeter l’invitation (Créer une invitation pour faire un combat entre amis)</t>
  </si>
  <si>
    <t>Créer une table Room dans la BDD qui contient les joueur d’un combat</t>
  </si>
  <si>
    <t>Initialiser le combat avec les deux sockets des clients</t>
  </si>
  <si>
    <t xml:space="preserve">Changer les mappers toEntity pour prendre en compte le repository (anti-cheat)
</t>
  </si>
  <si>
    <t>HISTOIRE 26 (Chat)</t>
  </si>
  <si>
    <t>Pouvoir envoyer des messages à des amis (Chat Normal)</t>
  </si>
  <si>
    <t>Nouvelle fenêtre/popup avec les messages stockés en BDD (Chat Normal)</t>
  </si>
  <si>
    <t>Faire thread pour lancer un chat en même temps que le combat (Chat Combat)</t>
  </si>
  <si>
    <t>Lancer un chat avec l’adversaire correspondant (Chat Combat)</t>
  </si>
  <si>
    <t>Interface chat en combat (Chat Combat)</t>
  </si>
  <si>
    <t>refactor Main.java, programme doit être lancé à partir de GameController (MVC View&lt;-&gt;Controller)</t>
  </si>
  <si>
    <t>refactor ViewManager &amp; BattleController (MVC View&lt;-&gt;Controller)</t>
  </si>
  <si>
    <t>refactor les controllers/windows (MVC View&lt;-&gt;Controller)</t>
  </si>
  <si>
    <t>refactor les controllers/windows FloorReward (MVC View&lt;-&gt;Controller)</t>
  </si>
  <si>
    <t>refactor controller/window LevelUp (MVC View&lt;-&gt;Controller)</t>
  </si>
  <si>
    <t>refactor controller/window BattleEnd (MVC View&lt;-&gt;Controller)</t>
  </si>
  <si>
    <t>Enlever la logique et autres trucs qui n’appartiennent pas à la vue (MVC View&lt;-&gt;Controller - refactor controller/window BattleWindow)</t>
  </si>
  <si>
    <t>Réduire taille du BattleWindow (MVC View&lt;-&gt;Controller - refactor controller/window BattleWindow)</t>
  </si>
  <si>
    <t>Transformer les paramètres en variables (MVC View&lt;-&gt;Controller - refactor controller/window BattleWindow)</t>
  </si>
  <si>
    <t>Retirer l’appel à BugemonService dans la fenêtre de création d’équipe (MVC View&lt;-&gt;Controller)</t>
  </si>
  <si>
    <t>Supprimer l’enum EffectType</t>
  </si>
  <si>
    <t>Double dispatch sur les messages dans GameController</t>
  </si>
  <si>
    <t xml:space="preserve">Mieux polymorphiser Action (pas utiliser des “if instanceof”) </t>
  </si>
  <si>
    <t>Rendre les attributs de Stats privés</t>
  </si>
  <si>
    <t xml:space="preserve">Refactor controller , implémenter le listener dans son controller respective temps </t>
  </si>
  <si>
    <t>Refactor show en classe abstraite</t>
  </si>
  <si>
    <t>Réparer le combat auto dans la branche main</t>
  </si>
  <si>
    <t>Utiliser le double dispatching pour les messages</t>
  </si>
  <si>
    <t>refactor SocialPanel pour avoir un controller et utiliser un Listener</t>
  </si>
  <si>
    <t>Supprimer ServiceLoader</t>
  </si>
  <si>
    <t>Divers (heures supp non comptabilisés)</t>
  </si>
  <si>
    <t>Supprimer les constructeurs dépréciés de Bugemon</t>
  </si>
  <si>
    <t>Merge Battle-Main + fix</t>
  </si>
  <si>
    <t>Fix bar PV reset lors d’une attaque qui termine le combat</t>
  </si>
  <si>
    <t>Merge TowerNO-Main + DataBase-Main</t>
  </si>
  <si>
    <t>Ajout de description attack, objets (puissance, facteur heal, …)</t>
  </si>
  <si>
    <t xml:space="preserve"> Ajouter bouton déconnecter dans le menu</t>
  </si>
  <si>
    <t>Ajouter javadoc + commentaires</t>
  </si>
  <si>
    <t>everyone</t>
  </si>
  <si>
    <t>HISTOIRE 1</t>
  </si>
  <si>
    <t>Tâche 1</t>
  </si>
  <si>
    <t>Tâche 2</t>
  </si>
  <si>
    <t>Tâche 3</t>
  </si>
  <si>
    <t>Tâche 4</t>
  </si>
  <si>
    <t>Tâche 5</t>
  </si>
  <si>
    <t>Tâche 6</t>
  </si>
  <si>
    <t>Tâche 7</t>
  </si>
  <si>
    <t>Tâche 8</t>
  </si>
  <si>
    <t>Tâche 9</t>
  </si>
  <si>
    <t>Tâche 10</t>
  </si>
  <si>
    <t>HISTOIRE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</si>
</sst>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0.000000"/>
    <numFmt numFmtId="166" formatCode="0.###"/>
    <numFmt numFmtId="167" formatCode="DD/MM/YYYY"/>
  </numFmts>
  <fonts count="17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10.0"/>
      <color rgb="FF000000"/>
      <name val="Arial"/>
    </font>
    <font>
      <color rgb="FF000000"/>
      <name val="Arial"/>
    </font>
    <font/>
    <font>
      <color theme="1"/>
      <name val="Calibri"/>
      <scheme val="minor"/>
    </font>
    <font>
      <sz val="11.0"/>
      <color rgb="FF000000"/>
      <name val="Georgia"/>
    </font>
    <font>
      <b/>
      <sz val="14.0"/>
      <color rgb="FF000000"/>
      <name val="Georgia"/>
    </font>
    <font>
      <b/>
      <sz val="11.0"/>
      <color rgb="FF000000"/>
      <name val="Georgia"/>
    </font>
    <font>
      <sz val="12.0"/>
      <color rgb="FF000000"/>
      <name val="Georgia"/>
    </font>
    <font>
      <b/>
      <sz val="12.0"/>
      <color rgb="FF000000"/>
      <name val="Georgia"/>
    </font>
    <font>
      <b/>
      <sz val="10.0"/>
      <color rgb="FF000000"/>
      <name val="Georgia"/>
    </font>
    <font>
      <b/>
      <sz val="14.0"/>
      <color theme="1"/>
      <name val="Georgia"/>
    </font>
    <font>
      <sz val="12.0"/>
      <color theme="1"/>
      <name val="Georgia"/>
    </font>
    <font>
      <sz val="11.0"/>
      <color theme="1"/>
      <name val="Calibri"/>
    </font>
    <font>
      <b/>
      <sz val="12.0"/>
      <color theme="1"/>
      <name val="Georgia"/>
    </font>
  </fonts>
  <fills count="15">
    <fill>
      <patternFill patternType="none"/>
    </fill>
    <fill>
      <patternFill patternType="lightGray"/>
    </fill>
    <fill>
      <patternFill patternType="solid">
        <fgColor rgb="FFFFFFF3"/>
        <bgColor rgb="FFFFFFF3"/>
      </patternFill>
    </fill>
    <fill>
      <patternFill patternType="solid">
        <fgColor rgb="FFFBFFFF"/>
        <bgColor rgb="FFFBFFFF"/>
      </patternFill>
    </fill>
    <fill>
      <patternFill patternType="solid">
        <fgColor rgb="FFA9D08E"/>
        <bgColor rgb="FFA9D08E"/>
      </patternFill>
    </fill>
    <fill>
      <patternFill patternType="solid">
        <fgColor rgb="FFFFC000"/>
        <bgColor rgb="FFFFC000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D9D9D9"/>
        <bgColor rgb="FFD9D9D9"/>
      </patternFill>
    </fill>
    <fill>
      <patternFill patternType="solid">
        <fgColor rgb="FF99CCFF"/>
        <bgColor rgb="FF99CCFF"/>
      </patternFill>
    </fill>
    <fill>
      <patternFill patternType="solid">
        <fgColor rgb="FFB4C6E7"/>
        <bgColor rgb="FFB4C6E7"/>
      </patternFill>
    </fill>
    <fill>
      <patternFill patternType="solid">
        <fgColor rgb="FF339966"/>
        <bgColor rgb="FF339966"/>
      </patternFill>
    </fill>
    <fill>
      <patternFill patternType="solid">
        <fgColor rgb="FFFFD966"/>
        <bgColor rgb="FFFFD966"/>
      </patternFill>
    </fill>
    <fill>
      <patternFill patternType="solid">
        <fgColor rgb="FF8EA9DB"/>
        <bgColor rgb="FF8EA9DB"/>
      </patternFill>
    </fill>
    <fill>
      <patternFill patternType="solid">
        <fgColor rgb="FFF4B084"/>
        <bgColor rgb="FFF4B084"/>
      </patternFill>
    </fill>
  </fills>
  <borders count="26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/>
      <bottom/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/>
      <right/>
      <top/>
      <bottom/>
    </border>
    <border>
      <right style="hair">
        <color rgb="FF000000"/>
      </right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4" fillId="2" fontId="2" numFmtId="0" xfId="0" applyAlignment="1" applyBorder="1" applyFill="1" applyFont="1">
      <alignment horizontal="center" readingOrder="0" shrinkToFit="0" vertical="bottom" wrapText="0"/>
    </xf>
    <xf borderId="4" fillId="3" fontId="2" numFmtId="0" xfId="0" applyAlignment="1" applyBorder="1" applyFill="1" applyFont="1">
      <alignment horizontal="center" readingOrder="0" shrinkToFit="0" vertical="bottom" wrapText="0"/>
    </xf>
    <xf borderId="5" fillId="3" fontId="2" numFmtId="0" xfId="0" applyAlignment="1" applyBorder="1" applyFont="1">
      <alignment horizontal="center" readingOrder="0" shrinkToFit="0" vertical="bottom" wrapText="0"/>
    </xf>
    <xf borderId="6" fillId="0" fontId="2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7" fillId="4" fontId="1" numFmtId="0" xfId="0" applyAlignment="1" applyBorder="1" applyFill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horizontal="center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0" fillId="5" fontId="4" numFmtId="0" xfId="0" applyAlignment="1" applyFill="1" applyFont="1">
      <alignment horizontal="right" readingOrder="0" shrinkToFit="0" vertical="bottom" wrapText="0"/>
    </xf>
    <xf borderId="8" fillId="6" fontId="1" numFmtId="0" xfId="0" applyAlignment="1" applyBorder="1" applyFill="1" applyFont="1">
      <alignment readingOrder="0" shrinkToFit="0" vertical="bottom" wrapText="0"/>
    </xf>
    <xf borderId="8" fillId="5" fontId="1" numFmtId="0" xfId="0" applyAlignment="1" applyBorder="1" applyFont="1">
      <alignment readingOrder="0" shrinkToFit="0" vertical="bottom" wrapText="0"/>
    </xf>
    <xf borderId="9" fillId="0" fontId="2" numFmtId="0" xfId="0" applyAlignment="1" applyBorder="1" applyFont="1">
      <alignment horizontal="center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4" fillId="2" fontId="2" numFmtId="0" xfId="0" applyAlignment="1" applyBorder="1" applyFont="1">
      <alignment horizontal="center" shrinkToFit="0" vertical="bottom" wrapText="0"/>
    </xf>
    <xf borderId="4" fillId="3" fontId="2" numFmtId="0" xfId="0" applyAlignment="1" applyBorder="1" applyFont="1">
      <alignment horizontal="center" shrinkToFit="0" vertical="bottom" wrapText="0"/>
    </xf>
    <xf borderId="5" fillId="3" fontId="2" numFmtId="0" xfId="0" applyAlignment="1" applyBorder="1" applyFont="1">
      <alignment horizontal="center" shrinkToFit="0" vertical="bottom" wrapText="0"/>
    </xf>
    <xf borderId="10" fillId="7" fontId="2" numFmtId="0" xfId="0" applyAlignment="1" applyBorder="1" applyFill="1" applyFont="1">
      <alignment horizontal="center" readingOrder="0" shrinkToFit="0" vertical="bottom" wrapText="0"/>
    </xf>
    <xf borderId="11" fillId="0" fontId="5" numFmtId="0" xfId="0" applyBorder="1" applyFont="1"/>
    <xf borderId="12" fillId="0" fontId="5" numFmtId="0" xfId="0" applyBorder="1" applyFont="1"/>
    <xf borderId="13" fillId="8" fontId="2" numFmtId="0" xfId="0" applyAlignment="1" applyBorder="1" applyFill="1" applyFont="1">
      <alignment horizontal="center" readingOrder="0" shrinkToFit="0" vertical="bottom" wrapText="0"/>
    </xf>
    <xf borderId="14" fillId="0" fontId="1" numFmtId="0" xfId="0" applyAlignment="1" applyBorder="1" applyFont="1">
      <alignment readingOrder="0" shrinkToFit="0" vertical="bottom" wrapText="0"/>
    </xf>
    <xf borderId="14" fillId="0" fontId="1" numFmtId="0" xfId="0" applyAlignment="1" applyBorder="1" applyFont="1">
      <alignment shrinkToFit="0" vertical="bottom" wrapText="0"/>
    </xf>
    <xf borderId="14" fillId="0" fontId="6" numFmtId="0" xfId="0" applyBorder="1" applyFont="1"/>
    <xf borderId="15" fillId="0" fontId="1" numFmtId="0" xfId="0" applyAlignment="1" applyBorder="1" applyFont="1">
      <alignment shrinkToFit="0" vertical="bottom" wrapText="0"/>
    </xf>
    <xf borderId="16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17" fillId="0" fontId="1" numFmtId="0" xfId="0" applyAlignment="1" applyBorder="1" applyFont="1">
      <alignment shrinkToFit="0" vertical="bottom" wrapText="0"/>
    </xf>
    <xf borderId="18" fillId="0" fontId="1" numFmtId="0" xfId="0" applyAlignment="1" applyBorder="1" applyFont="1">
      <alignment shrinkToFit="0" vertical="bottom" wrapText="0"/>
    </xf>
    <xf borderId="19" fillId="0" fontId="1" numFmtId="0" xfId="0" applyAlignment="1" applyBorder="1" applyFont="1">
      <alignment readingOrder="0" shrinkToFit="0" vertical="bottom" wrapText="0"/>
    </xf>
    <xf borderId="19" fillId="0" fontId="1" numFmtId="0" xfId="0" applyAlignment="1" applyBorder="1" applyFont="1">
      <alignment shrinkToFit="0" vertical="bottom" wrapText="0"/>
    </xf>
    <xf borderId="20" fillId="0" fontId="1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21" fillId="9" fontId="8" numFmtId="0" xfId="0" applyAlignment="1" applyBorder="1" applyFill="1" applyFont="1">
      <alignment horizontal="center" shrinkToFit="0" vertical="bottom" wrapText="0"/>
    </xf>
    <xf borderId="2" fillId="0" fontId="5" numFmtId="0" xfId="0" applyBorder="1" applyFont="1"/>
    <xf borderId="3" fillId="0" fontId="5" numFmtId="0" xfId="0" applyBorder="1" applyFont="1"/>
    <xf borderId="1" fillId="0" fontId="8" numFmtId="0" xfId="0" applyAlignment="1" applyBorder="1" applyFont="1">
      <alignment shrinkToFit="0" vertical="bottom" wrapText="0"/>
    </xf>
    <xf borderId="22" fillId="10" fontId="9" numFmtId="0" xfId="0" applyAlignment="1" applyBorder="1" applyFill="1" applyFont="1">
      <alignment horizontal="left" shrinkToFit="0" vertical="bottom" wrapText="0"/>
    </xf>
    <xf borderId="22" fillId="10" fontId="9" numFmtId="0" xfId="0" applyAlignment="1" applyBorder="1" applyFont="1">
      <alignment shrinkToFit="0" vertical="bottom" wrapText="0"/>
    </xf>
    <xf borderId="1" fillId="0" fontId="10" numFmtId="0" xfId="0" applyAlignment="1" applyBorder="1" applyFont="1">
      <alignment shrinkToFit="0" vertical="bottom" wrapText="1"/>
    </xf>
    <xf borderId="1" fillId="0" fontId="10" numFmtId="0" xfId="0" applyAlignment="1" applyBorder="1" applyFont="1">
      <alignment shrinkToFit="0" vertical="bottom" wrapText="0"/>
    </xf>
    <xf borderId="1" fillId="0" fontId="10" numFmtId="0" xfId="0" applyAlignment="1" applyBorder="1" applyFont="1">
      <alignment horizontal="center" shrinkToFit="0" vertical="bottom" wrapText="0"/>
    </xf>
    <xf borderId="22" fillId="10" fontId="9" numFmtId="2" xfId="0" applyAlignment="1" applyBorder="1" applyFont="1" applyNumberFormat="1">
      <alignment shrinkToFit="0" vertical="bottom" wrapText="0"/>
    </xf>
    <xf borderId="23" fillId="0" fontId="1" numFmtId="0" xfId="0" applyAlignment="1" applyBorder="1" applyFont="1">
      <alignment shrinkToFit="0" vertical="bottom" wrapText="0"/>
    </xf>
    <xf borderId="1" fillId="11" fontId="8" numFmtId="0" xfId="0" applyAlignment="1" applyBorder="1" applyFill="1" applyFont="1">
      <alignment horizontal="center" shrinkToFit="0" vertical="bottom" wrapText="0"/>
    </xf>
    <xf borderId="1" fillId="0" fontId="11" numFmtId="2" xfId="0" applyAlignment="1" applyBorder="1" applyFont="1" applyNumberFormat="1">
      <alignment horizontal="center" shrinkToFit="0" vertical="bottom" wrapText="0"/>
    </xf>
    <xf borderId="1" fillId="0" fontId="11" numFmtId="0" xfId="0" applyAlignment="1" applyBorder="1" applyFont="1">
      <alignment horizontal="center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24" fillId="12" fontId="9" numFmtId="0" xfId="0" applyAlignment="1" applyBorder="1" applyFill="1" applyFont="1">
      <alignment horizontal="center" shrinkToFit="0" vertical="center" wrapText="0"/>
    </xf>
    <xf borderId="25" fillId="0" fontId="5" numFmtId="0" xfId="0" applyBorder="1" applyFont="1"/>
    <xf borderId="24" fillId="10" fontId="9" numFmtId="0" xfId="0" applyAlignment="1" applyBorder="1" applyFont="1">
      <alignment horizontal="center" shrinkToFit="0" vertical="bottom" wrapText="0"/>
    </xf>
    <xf borderId="24" fillId="4" fontId="9" numFmtId="0" xfId="0" applyAlignment="1" applyBorder="1" applyFont="1">
      <alignment horizontal="center" shrinkToFit="0" vertical="bottom" wrapText="0"/>
    </xf>
    <xf borderId="22" fillId="13" fontId="9" numFmtId="0" xfId="0" applyAlignment="1" applyBorder="1" applyFill="1" applyFont="1">
      <alignment horizontal="center" shrinkToFit="0" vertical="bottom" wrapText="0"/>
    </xf>
    <xf borderId="22" fillId="14" fontId="9" numFmtId="0" xfId="0" applyAlignment="1" applyBorder="1" applyFill="1" applyFont="1">
      <alignment horizontal="center" shrinkToFit="0" vertical="bottom" wrapText="0"/>
    </xf>
    <xf borderId="0" fillId="0" fontId="12" numFmtId="164" xfId="0" applyAlignment="1" applyFont="1" applyNumberFormat="1">
      <alignment horizontal="center" readingOrder="0" shrinkToFit="0" vertical="bottom" wrapText="1"/>
    </xf>
    <xf borderId="0" fillId="0" fontId="7" numFmtId="0" xfId="0" applyAlignment="1" applyFont="1">
      <alignment horizontal="center" shrinkToFit="0" vertical="bottom" wrapText="0"/>
    </xf>
    <xf borderId="0" fillId="0" fontId="7" numFmtId="2" xfId="0" applyAlignment="1" applyFont="1" applyNumberFormat="1">
      <alignment shrinkToFit="0" vertical="bottom" wrapText="0"/>
    </xf>
    <xf borderId="0" fillId="0" fontId="7" numFmtId="0" xfId="0" applyAlignment="1" applyFont="1">
      <alignment horizontal="right" shrinkToFit="0" vertical="bottom" wrapText="0"/>
    </xf>
    <xf borderId="0" fillId="0" fontId="7" numFmtId="2" xfId="0" applyAlignment="1" applyFont="1" applyNumberFormat="1">
      <alignment horizontal="right" shrinkToFit="0" vertical="bottom" wrapText="0"/>
    </xf>
    <xf borderId="0" fillId="0" fontId="3" numFmtId="0" xfId="0" applyAlignment="1" applyFont="1">
      <alignment shrinkToFit="0" vertical="bottom" wrapText="1"/>
    </xf>
    <xf borderId="0" fillId="0" fontId="7" numFmtId="165" xfId="0" applyAlignment="1" applyFont="1" applyNumberFormat="1">
      <alignment shrinkToFit="0" vertical="bottom" wrapText="0"/>
    </xf>
    <xf borderId="0" fillId="0" fontId="7" numFmtId="165" xfId="0" applyAlignment="1" applyFont="1" applyNumberFormat="1">
      <alignment horizontal="right" shrinkToFit="0" vertical="bottom" wrapText="0"/>
    </xf>
    <xf borderId="0" fillId="0" fontId="7" numFmtId="1" xfId="0" applyAlignment="1" applyFont="1" applyNumberFormat="1">
      <alignment shrinkToFit="0" vertical="bottom" wrapText="0"/>
    </xf>
    <xf borderId="0" fillId="0" fontId="7" numFmtId="1" xfId="0" applyAlignment="1" applyFont="1" applyNumberFormat="1">
      <alignment horizontal="right" shrinkToFit="0" vertical="bottom" wrapText="0"/>
    </xf>
    <xf borderId="1" fillId="0" fontId="10" numFmtId="166" xfId="0" applyAlignment="1" applyBorder="1" applyFont="1" applyNumberFormat="1">
      <alignment horizontal="center" shrinkToFit="0" vertical="bottom" wrapText="0"/>
    </xf>
    <xf borderId="1" fillId="0" fontId="8" numFmtId="0" xfId="0" applyAlignment="1" applyBorder="1" applyFont="1">
      <alignment shrinkToFit="0" vertical="bottom" wrapText="1"/>
    </xf>
    <xf borderId="21" fillId="9" fontId="8" numFmtId="0" xfId="0" applyAlignment="1" applyBorder="1" applyFont="1">
      <alignment horizontal="center" readingOrder="0" shrinkToFit="0" vertical="bottom" wrapText="0"/>
    </xf>
    <xf borderId="22" fillId="10" fontId="9" numFmtId="0" xfId="0" applyAlignment="1" applyBorder="1" applyFont="1">
      <alignment readingOrder="0" shrinkToFit="0" vertical="bottom" wrapText="0"/>
    </xf>
    <xf borderId="1" fillId="0" fontId="10" numFmtId="0" xfId="0" applyAlignment="1" applyBorder="1" applyFont="1">
      <alignment readingOrder="0" shrinkToFit="0" vertical="bottom" wrapText="0"/>
    </xf>
    <xf borderId="1" fillId="0" fontId="10" numFmtId="0" xfId="0" applyAlignment="1" applyBorder="1" applyFont="1">
      <alignment horizontal="center" readingOrder="0" shrinkToFit="0" vertical="bottom" wrapText="0"/>
    </xf>
    <xf borderId="1" fillId="0" fontId="11" numFmtId="0" xfId="0" applyAlignment="1" applyBorder="1" applyFont="1">
      <alignment horizontal="center" readingOrder="0" shrinkToFit="0" vertical="bottom" wrapText="0"/>
    </xf>
    <xf borderId="0" fillId="0" fontId="9" numFmtId="0" xfId="0" applyAlignment="1" applyFont="1">
      <alignment horizontal="center" shrinkToFit="0" vertical="bottom" wrapText="0"/>
    </xf>
    <xf borderId="24" fillId="10" fontId="9" numFmtId="0" xfId="0" applyAlignment="1" applyBorder="1" applyFont="1">
      <alignment horizontal="center" readingOrder="0" shrinkToFit="0" vertical="bottom" wrapText="0"/>
    </xf>
    <xf borderId="0" fillId="0" fontId="12" numFmtId="167" xfId="0" applyAlignment="1" applyFont="1" applyNumberFormat="1">
      <alignment horizontal="center" readingOrder="0" shrinkToFit="0" vertical="bottom" wrapText="1"/>
    </xf>
    <xf borderId="0" fillId="0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12" numFmtId="167" xfId="0" applyAlignment="1" applyFont="1" applyNumberFormat="1">
      <alignment horizontal="center" shrinkToFit="0" vertical="bottom" wrapText="1"/>
    </xf>
    <xf borderId="21" fillId="9" fontId="13" numFmtId="0" xfId="0" applyAlignment="1" applyBorder="1" applyFont="1">
      <alignment horizontal="center" readingOrder="0" vertical="bottom"/>
    </xf>
    <xf borderId="1" fillId="0" fontId="13" numFmtId="0" xfId="0" applyAlignment="1" applyBorder="1" applyFont="1">
      <alignment vertical="bottom"/>
    </xf>
    <xf borderId="1" fillId="0" fontId="14" numFmtId="0" xfId="0" applyAlignment="1" applyBorder="1" applyFont="1">
      <alignment readingOrder="0" vertical="bottom"/>
    </xf>
    <xf borderId="1" fillId="11" fontId="13" numFmtId="0" xfId="0" applyAlignment="1" applyBorder="1" applyFont="1">
      <alignment horizontal="center" vertical="bottom"/>
    </xf>
    <xf borderId="1" fillId="11" fontId="15" numFmtId="0" xfId="0" applyAlignment="1" applyBorder="1" applyFont="1">
      <alignment vertical="bottom"/>
    </xf>
    <xf borderId="1" fillId="0" fontId="16" numFmtId="0" xfId="0" applyAlignment="1" applyBorder="1" applyFont="1">
      <alignment horizontal="center" vertical="bottom"/>
    </xf>
  </cellXfs>
  <cellStyles count="1">
    <cellStyle xfId="0" name="Normal" builtinId="0"/>
  </cellStyles>
  <dxfs count="1">
    <dxf>
      <font>
        <color rgb="FF000000"/>
        <name val="Calibri"/>
      </font>
      <numFmt numFmtId="0" formatCode=""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Total</c:v>
          </c:tx>
          <c:spPr>
            <a:ln cmpd="sng" w="28575">
              <a:solidFill>
                <a:srgbClr val="004586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004586">
                  <a:alpha val="100000"/>
                </a:srgbClr>
              </a:solidFill>
              <a:ln cmpd="sng">
                <a:solidFill>
                  <a:srgbClr val="004586">
                    <a:alpha val="100000"/>
                  </a:srgbClr>
                </a:solidFill>
              </a:ln>
            </c:spPr>
          </c:marker>
          <c:cat>
            <c:strRef>
              <c:f>Overview!$C$32:$G$32</c:f>
            </c:strRef>
          </c:cat>
          <c:val>
            <c:numRef>
              <c:f>Overview!$C$33:$G$33</c:f>
              <c:numCache/>
            </c:numRef>
          </c:val>
          <c:smooth val="0"/>
        </c:ser>
        <c:axId val="1847097952"/>
        <c:axId val="454244441"/>
      </c:lineChart>
      <c:catAx>
        <c:axId val="1847097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54244441"/>
      </c:catAx>
      <c:valAx>
        <c:axId val="4542444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4709795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0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Histoire 1</c:v>
          </c:tx>
          <c:spPr>
            <a:ln cmpd="sng" w="38100">
              <a:solidFill>
                <a:srgbClr val="115472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115472">
                  <a:alpha val="100000"/>
                </a:srgbClr>
              </a:solidFill>
              <a:ln cmpd="sng">
                <a:solidFill>
                  <a:srgbClr val="115472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Overview!$C$3:$G$3</c:f>
              <c:numCache/>
            </c:numRef>
          </c:val>
          <c:smooth val="0"/>
        </c:ser>
        <c:ser>
          <c:idx val="1"/>
          <c:order val="1"/>
          <c:tx>
            <c:v>Histoire 2</c:v>
          </c:tx>
          <c:spPr>
            <a:ln cmpd="sng" w="19050">
              <a:solidFill>
                <a:srgbClr val="4472C4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472C4">
                  <a:alpha val="100000"/>
                </a:srgbClr>
              </a:solidFill>
              <a:ln cmpd="sng">
                <a:solidFill>
                  <a:srgbClr val="4472C4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Overview!$C$4:$G$4</c:f>
              <c:numCache/>
            </c:numRef>
          </c:val>
          <c:smooth val="0"/>
        </c:ser>
        <c:ser>
          <c:idx val="2"/>
          <c:order val="2"/>
          <c:tx>
            <c:v>Histoire 3</c:v>
          </c:tx>
          <c:spPr>
            <a:ln cmpd="sng" w="19050">
              <a:solidFill>
                <a:srgbClr val="ED7D31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ED7D31">
                  <a:alpha val="100000"/>
                </a:srgbClr>
              </a:solidFill>
              <a:ln cmpd="sng">
                <a:solidFill>
                  <a:srgbClr val="ED7D31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Overview!$C$5:$G$5</c:f>
              <c:numCache/>
            </c:numRef>
          </c:val>
          <c:smooth val="0"/>
        </c:ser>
        <c:ser>
          <c:idx val="3"/>
          <c:order val="3"/>
          <c:tx>
            <c:v>Histoire 4</c:v>
          </c:tx>
          <c:spPr>
            <a:ln cmpd="sng" w="19050">
              <a:solidFill>
                <a:srgbClr val="A5A5A5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A5A5A5">
                  <a:alpha val="100000"/>
                </a:srgbClr>
              </a:solidFill>
              <a:ln cmpd="sng">
                <a:solidFill>
                  <a:srgbClr val="A5A5A5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Overview!$C$6:$G$6</c:f>
              <c:numCache/>
            </c:numRef>
          </c:val>
          <c:smooth val="0"/>
        </c:ser>
        <c:ser>
          <c:idx val="4"/>
          <c:order val="4"/>
          <c:tx>
            <c:v>Histoire 5</c:v>
          </c:tx>
          <c:spPr>
            <a:ln cmpd="sng" w="19050">
              <a:solidFill>
                <a:srgbClr val="FFC00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FFC000">
                  <a:alpha val="100000"/>
                </a:srgbClr>
              </a:solidFill>
              <a:ln cmpd="sng">
                <a:solidFill>
                  <a:srgbClr val="FFC000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Overview!$C$7:$G$7</c:f>
              <c:numCache/>
            </c:numRef>
          </c:val>
          <c:smooth val="0"/>
        </c:ser>
        <c:ser>
          <c:idx val="5"/>
          <c:order val="5"/>
          <c:tx>
            <c:v>Histoire 6</c:v>
          </c:tx>
          <c:spPr>
            <a:ln cmpd="sng" w="19050">
              <a:solidFill>
                <a:srgbClr val="5B9BD5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5B9BD5">
                  <a:alpha val="100000"/>
                </a:srgbClr>
              </a:solidFill>
              <a:ln cmpd="sng">
                <a:solidFill>
                  <a:srgbClr val="5B9BD5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Overview!$C$8:$G$8</c:f>
              <c:numCache/>
            </c:numRef>
          </c:val>
          <c:smooth val="0"/>
        </c:ser>
        <c:ser>
          <c:idx val="6"/>
          <c:order val="6"/>
          <c:tx>
            <c:v>Histoire 7</c:v>
          </c:tx>
          <c:spPr>
            <a:ln cmpd="sng" w="19050">
              <a:solidFill>
                <a:srgbClr val="70AD47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70AD47">
                  <a:alpha val="100000"/>
                </a:srgbClr>
              </a:solidFill>
              <a:ln cmpd="sng">
                <a:solidFill>
                  <a:srgbClr val="70AD47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Overview!$C$9:$G$9</c:f>
              <c:numCache/>
            </c:numRef>
          </c:val>
          <c:smooth val="0"/>
        </c:ser>
        <c:ser>
          <c:idx val="7"/>
          <c:order val="7"/>
          <c:tx>
            <c:v>Histoire 8</c:v>
          </c:tx>
          <c:spPr>
            <a:ln cmpd="sng" w="19050">
              <a:solidFill>
                <a:srgbClr val="99730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997300">
                  <a:alpha val="100000"/>
                </a:srgbClr>
              </a:solidFill>
              <a:ln cmpd="sng">
                <a:solidFill>
                  <a:srgbClr val="997300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Overview!$C$10:$G$10</c:f>
              <c:numCache/>
            </c:numRef>
          </c:val>
          <c:smooth val="0"/>
        </c:ser>
        <c:ser>
          <c:idx val="8"/>
          <c:order val="8"/>
          <c:tx>
            <c:v>Histoire 9</c:v>
          </c:tx>
          <c:spPr>
            <a:ln cmpd="sng" w="38100">
              <a:solidFill>
                <a:srgbClr val="CE632B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CE632B">
                  <a:alpha val="100000"/>
                </a:srgbClr>
              </a:solidFill>
              <a:ln cmpd="sng">
                <a:solidFill>
                  <a:srgbClr val="CE632B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Overview!$C$11:$G$11</c:f>
              <c:numCache/>
            </c:numRef>
          </c:val>
          <c:smooth val="0"/>
        </c:ser>
        <c:ser>
          <c:idx val="9"/>
          <c:order val="9"/>
          <c:tx>
            <c:v>Histoire 10</c:v>
          </c:tx>
          <c:spPr>
            <a:ln cmpd="sng" w="38100">
              <a:solidFill>
                <a:srgbClr val="155E1F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155E1F">
                  <a:alpha val="100000"/>
                </a:srgbClr>
              </a:solidFill>
              <a:ln cmpd="sng">
                <a:solidFill>
                  <a:srgbClr val="155E1F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Overview!$C$12:$G$12</c:f>
              <c:numCache/>
            </c:numRef>
          </c:val>
          <c:smooth val="0"/>
        </c:ser>
        <c:ser>
          <c:idx val="10"/>
          <c:order val="10"/>
          <c:tx>
            <c:v>Histoire 11</c:v>
          </c:tx>
          <c:spPr>
            <a:ln cmpd="sng" w="38100">
              <a:solidFill>
                <a:srgbClr val="8D2582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8D2582">
                  <a:alpha val="100000"/>
                </a:srgbClr>
              </a:solidFill>
              <a:ln cmpd="sng">
                <a:solidFill>
                  <a:srgbClr val="8D2582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Overview!$C$13:$G$13</c:f>
              <c:numCache/>
            </c:numRef>
          </c:val>
          <c:smooth val="0"/>
        </c:ser>
        <c:ser>
          <c:idx val="11"/>
          <c:order val="11"/>
          <c:tx>
            <c:v>Histoire 12</c:v>
          </c:tx>
          <c:spPr>
            <a:ln cmpd="sng" w="38100">
              <a:solidFill>
                <a:srgbClr val="449328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49328">
                  <a:alpha val="100000"/>
                </a:srgbClr>
              </a:solidFill>
              <a:ln cmpd="sng">
                <a:solidFill>
                  <a:srgbClr val="449328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Overview!$C$14:$G$14</c:f>
              <c:numCache/>
            </c:numRef>
          </c:val>
          <c:smooth val="0"/>
        </c:ser>
        <c:ser>
          <c:idx val="12"/>
          <c:order val="12"/>
          <c:tx>
            <c:v>Histoire 13</c:v>
          </c:tx>
          <c:spPr>
            <a:ln cmpd="sng" w="38100">
              <a:solidFill>
                <a:srgbClr val="156082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156082">
                  <a:alpha val="100000"/>
                </a:srgbClr>
              </a:solidFill>
              <a:ln cmpd="sng">
                <a:solidFill>
                  <a:srgbClr val="156082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Overview!$C$15:$G$15</c:f>
              <c:numCache/>
            </c:numRef>
          </c:val>
          <c:smooth val="0"/>
        </c:ser>
        <c:ser>
          <c:idx val="13"/>
          <c:order val="13"/>
          <c:tx>
            <c:v>Histoire 14</c:v>
          </c:tx>
          <c:spPr>
            <a:ln cmpd="sng" w="38100">
              <a:solidFill>
                <a:srgbClr val="E97132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E97132">
                  <a:alpha val="100000"/>
                </a:srgbClr>
              </a:solidFill>
              <a:ln cmpd="sng">
                <a:solidFill>
                  <a:srgbClr val="E97132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Overview!$C$16:$G$16</c:f>
              <c:numCache/>
            </c:numRef>
          </c:val>
          <c:smooth val="0"/>
        </c:ser>
        <c:ser>
          <c:idx val="14"/>
          <c:order val="14"/>
          <c:tx>
            <c:v>Histoire 15</c:v>
          </c:tx>
          <c:spPr>
            <a:ln cmpd="sng" w="38100">
              <a:solidFill>
                <a:srgbClr val="196B24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196B24">
                  <a:alpha val="100000"/>
                </a:srgbClr>
              </a:solidFill>
              <a:ln cmpd="sng">
                <a:solidFill>
                  <a:srgbClr val="196B24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Overview!$C$17:$G$17</c:f>
              <c:numCache/>
            </c:numRef>
          </c:val>
          <c:smooth val="0"/>
        </c:ser>
        <c:ser>
          <c:idx val="15"/>
          <c:order val="15"/>
          <c:tx>
            <c:v>Histoire 16</c:v>
          </c:tx>
          <c:spPr>
            <a:ln cmpd="sng" w="38100">
              <a:solidFill>
                <a:srgbClr val="0F9ED5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0F9ED5">
                  <a:alpha val="100000"/>
                </a:srgbClr>
              </a:solidFill>
              <a:ln cmpd="sng">
                <a:solidFill>
                  <a:srgbClr val="0F9ED5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Overview!$C$18:$G$18</c:f>
              <c:numCache/>
            </c:numRef>
          </c:val>
          <c:smooth val="0"/>
        </c:ser>
        <c:ser>
          <c:idx val="16"/>
          <c:order val="16"/>
          <c:tx>
            <c:v>Histoire 17</c:v>
          </c:tx>
          <c:spPr>
            <a:ln cmpd="sng" w="38100">
              <a:solidFill>
                <a:srgbClr val="A02B93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A02B93">
                  <a:alpha val="100000"/>
                </a:srgbClr>
              </a:solidFill>
              <a:ln cmpd="sng">
                <a:solidFill>
                  <a:srgbClr val="A02B93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Overview!$C$19:$G$19</c:f>
              <c:numCache/>
            </c:numRef>
          </c:val>
          <c:smooth val="0"/>
        </c:ser>
        <c:ser>
          <c:idx val="17"/>
          <c:order val="17"/>
          <c:tx>
            <c:v>Histoire 18</c:v>
          </c:tx>
          <c:spPr>
            <a:ln cmpd="sng" w="38100">
              <a:solidFill>
                <a:srgbClr val="4EA72E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EA72E">
                  <a:alpha val="100000"/>
                </a:srgbClr>
              </a:solidFill>
              <a:ln cmpd="sng">
                <a:solidFill>
                  <a:srgbClr val="4EA72E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Overview!$C$20:$G$20</c:f>
              <c:numCache/>
            </c:numRef>
          </c:val>
          <c:smooth val="0"/>
        </c:ser>
        <c:ser>
          <c:idx val="18"/>
          <c:order val="18"/>
          <c:tx>
            <c:v>Histoire 19</c:v>
          </c:tx>
          <c:spPr>
            <a:ln cmpd="sng" w="38100">
              <a:solidFill>
                <a:srgbClr val="8599AA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8599AA">
                  <a:alpha val="100000"/>
                </a:srgbClr>
              </a:solidFill>
              <a:ln cmpd="sng">
                <a:solidFill>
                  <a:srgbClr val="8599AA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Overview!$C$21:$G$21</c:f>
              <c:numCache/>
            </c:numRef>
          </c:val>
          <c:smooth val="0"/>
        </c:ser>
        <c:ser>
          <c:idx val="19"/>
          <c:order val="19"/>
          <c:tx>
            <c:v>Histoire 20</c:v>
          </c:tx>
          <c:spPr>
            <a:ln cmpd="sng" w="38100">
              <a:solidFill>
                <a:srgbClr val="EEA18A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EEA18A">
                  <a:alpha val="100000"/>
                </a:srgbClr>
              </a:solidFill>
              <a:ln cmpd="sng">
                <a:solidFill>
                  <a:srgbClr val="EEA18A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Overview!$C$22:$G$22</c:f>
              <c:numCache/>
            </c:numRef>
          </c:val>
          <c:smooth val="0"/>
        </c:ser>
        <c:ser>
          <c:idx val="20"/>
          <c:order val="20"/>
          <c:tx>
            <c:v>Histoire 21</c:v>
          </c:tx>
          <c:spPr>
            <a:ln cmpd="sng" w="38100">
              <a:solidFill>
                <a:srgbClr val="869E87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869E87">
                  <a:alpha val="100000"/>
                </a:srgbClr>
              </a:solidFill>
              <a:ln cmpd="sng">
                <a:solidFill>
                  <a:srgbClr val="869E87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Overview!$C$23:$G$23</c:f>
              <c:numCache/>
            </c:numRef>
          </c:val>
          <c:smooth val="0"/>
        </c:ser>
        <c:ser>
          <c:idx val="21"/>
          <c:order val="21"/>
          <c:tx>
            <c:v>Histoire 22</c:v>
          </c:tx>
          <c:spPr>
            <a:ln cmpd="sng" w="38100">
              <a:solidFill>
                <a:srgbClr val="85BAE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85BAE0">
                  <a:alpha val="100000"/>
                </a:srgbClr>
              </a:solidFill>
              <a:ln cmpd="sng">
                <a:solidFill>
                  <a:srgbClr val="85BAE0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Overview!$C$24:$G$24</c:f>
              <c:numCache/>
            </c:numRef>
          </c:val>
          <c:smooth val="0"/>
        </c:ser>
        <c:ser>
          <c:idx val="22"/>
          <c:order val="22"/>
          <c:tx>
            <c:v>Histoire 23</c:v>
          </c:tx>
          <c:spPr>
            <a:ln cmpd="sng" w="38100">
              <a:solidFill>
                <a:srgbClr val="BC89B4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BC89B4">
                  <a:alpha val="100000"/>
                </a:srgbClr>
              </a:solidFill>
              <a:ln cmpd="sng">
                <a:solidFill>
                  <a:srgbClr val="BC89B4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Overview!$C$25:$G$25</c:f>
              <c:numCache/>
            </c:numRef>
          </c:val>
          <c:smooth val="0"/>
        </c:ser>
        <c:ser>
          <c:idx val="23"/>
          <c:order val="23"/>
          <c:tx>
            <c:v>Histoire 24</c:v>
          </c:tx>
          <c:spPr>
            <a:ln cmpd="sng" w="38100">
              <a:solidFill>
                <a:srgbClr val="92C089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92C089">
                  <a:alpha val="100000"/>
                </a:srgbClr>
              </a:solidFill>
              <a:ln cmpd="sng">
                <a:solidFill>
                  <a:srgbClr val="92C089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Overview!$C$26:$G$26</c:f>
              <c:numCache/>
            </c:numRef>
          </c:val>
          <c:smooth val="0"/>
        </c:ser>
        <c:ser>
          <c:idx val="24"/>
          <c:order val="24"/>
          <c:tx>
            <c:v>Histoire 25</c:v>
          </c:tx>
          <c:spPr>
            <a:ln cmpd="sng" w="38100">
              <a:solidFill>
                <a:srgbClr val="B5BFC8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B5BFC8">
                  <a:alpha val="100000"/>
                </a:srgbClr>
              </a:solidFill>
              <a:ln cmpd="sng">
                <a:solidFill>
                  <a:srgbClr val="B5BFC8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Overview!$C$27:$G$27</c:f>
              <c:numCache/>
            </c:numRef>
          </c:val>
          <c:smooth val="0"/>
        </c:ser>
        <c:ser>
          <c:idx val="25"/>
          <c:order val="25"/>
          <c:tx>
            <c:v>Histoire 26</c:v>
          </c:tx>
          <c:spPr>
            <a:ln cmpd="sng" w="38100">
              <a:solidFill>
                <a:srgbClr val="F3C4B8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F3C4B8">
                  <a:alpha val="100000"/>
                </a:srgbClr>
              </a:solidFill>
              <a:ln cmpd="sng">
                <a:solidFill>
                  <a:srgbClr val="F3C4B8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Overview!$C$28:$G$28</c:f>
              <c:numCache/>
            </c:numRef>
          </c:val>
          <c:smooth val="0"/>
        </c:ser>
        <c:ser>
          <c:idx val="26"/>
          <c:order val="26"/>
          <c:tx>
            <c:v>Histoire 27</c:v>
          </c:tx>
          <c:spPr>
            <a:ln cmpd="sng" w="38100">
              <a:solidFill>
                <a:srgbClr val="B6C2B6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B6C2B6">
                  <a:alpha val="100000"/>
                </a:srgbClr>
              </a:solidFill>
              <a:ln cmpd="sng">
                <a:solidFill>
                  <a:srgbClr val="B6C2B6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Overview!$C$29:$G$29</c:f>
              <c:numCache/>
            </c:numRef>
          </c:val>
          <c:smooth val="0"/>
        </c:ser>
        <c:ser>
          <c:idx val="27"/>
          <c:order val="27"/>
          <c:tx>
            <c:v>Histoire 28</c:v>
          </c:tx>
          <c:spPr>
            <a:ln cmpd="sng" w="38100">
              <a:solidFill>
                <a:srgbClr val="B5D2EA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B5D2EA">
                  <a:alpha val="100000"/>
                </a:srgbClr>
              </a:solidFill>
              <a:ln cmpd="sng">
                <a:solidFill>
                  <a:srgbClr val="B5D2EA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Overview!$C$30:$G$30</c:f>
              <c:numCache/>
            </c:numRef>
          </c:val>
          <c:smooth val="0"/>
        </c:ser>
        <c:axId val="1665031634"/>
        <c:axId val="1031617712"/>
      </c:lineChart>
      <c:catAx>
        <c:axId val="16650316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700">
                <a:solidFill>
                  <a:srgbClr val="595959"/>
                </a:solidFill>
                <a:latin typeface="Calibri"/>
              </a:defRPr>
            </a:pPr>
          </a:p>
        </c:txPr>
        <c:crossAx val="1031617712"/>
      </c:catAx>
      <c:valAx>
        <c:axId val="1031617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1665031634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595959"/>
              </a:solidFill>
              <a:latin typeface="Calibri"/>
            </a:defRPr>
          </a:pPr>
        </a:p>
      </c:txPr>
    </c:legend>
    <c:plotVisOnly val="0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595959"/>
                </a:solidFill>
                <a:latin typeface="Calibri"/>
              </a:defRPr>
            </a:pPr>
            <a:r>
              <a:rPr b="0" i="0" sz="1300">
                <a:solidFill>
                  <a:srgbClr val="595959"/>
                </a:solidFill>
                <a:latin typeface="Calibri"/>
              </a:rPr>
              <a:t>Burndown Chart</a:t>
            </a:r>
          </a:p>
        </c:rich>
      </c:tx>
      <c:overlay val="0"/>
    </c:title>
    <c:plotArea>
      <c:layout/>
      <c:lineChart>
        <c:ser>
          <c:idx val="0"/>
          <c:order val="0"/>
          <c:tx>
            <c:v>Idéal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'IT1'!$I$17:$I$30</c:f>
            </c:strRef>
          </c:cat>
          <c:val>
            <c:numRef>
              <c:f>'IT1'!$J$17:$J$30</c:f>
              <c:numCache/>
            </c:numRef>
          </c:val>
          <c:smooth val="0"/>
        </c:ser>
        <c:ser>
          <c:idx val="1"/>
          <c:order val="1"/>
          <c:tx>
            <c:v>Réel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'IT1'!$I$17:$I$30</c:f>
            </c:strRef>
          </c:cat>
          <c:val>
            <c:numRef>
              <c:f>'IT1'!$K$17:$K$30</c:f>
              <c:numCache/>
            </c:numRef>
          </c:val>
          <c:smooth val="0"/>
        </c:ser>
        <c:axId val="1536458664"/>
        <c:axId val="981862024"/>
      </c:lineChart>
      <c:catAx>
        <c:axId val="1536458664"/>
        <c:scaling>
          <c:orientation val="minMax"/>
          <c:max val="13.0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595959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595959"/>
                    </a:solidFill>
                    <a:latin typeface="Calibri"/>
                  </a:rPr>
                  <a:t>Jour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981862024"/>
      </c:catAx>
      <c:valAx>
        <c:axId val="9818620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595959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595959"/>
                    </a:solidFill>
                    <a:latin typeface="Calibri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153645866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595959"/>
              </a:solidFill>
              <a:latin typeface="Calibri"/>
            </a:defRPr>
          </a:pPr>
        </a:p>
      </c:txPr>
    </c:legend>
    <c:plotVisOnly val="0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595959"/>
                </a:solidFill>
                <a:latin typeface="Calibri"/>
              </a:defRPr>
            </a:pPr>
            <a:r>
              <a:rPr b="0" i="0" sz="1300">
                <a:solidFill>
                  <a:srgbClr val="595959"/>
                </a:solidFill>
                <a:latin typeface="Calibri"/>
              </a:rPr>
              <a:t>Burndown Chart</a:t>
            </a:r>
          </a:p>
        </c:rich>
      </c:tx>
      <c:overlay val="0"/>
    </c:title>
    <c:plotArea>
      <c:layout/>
      <c:lineChart>
        <c:ser>
          <c:idx val="0"/>
          <c:order val="0"/>
          <c:tx>
            <c:v>Idéal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'IT2'!$I$15:$I$28</c:f>
            </c:strRef>
          </c:cat>
          <c:val>
            <c:numRef>
              <c:f>'IT2'!$J$15:$J$28</c:f>
              <c:numCache/>
            </c:numRef>
          </c:val>
          <c:smooth val="0"/>
        </c:ser>
        <c:ser>
          <c:idx val="1"/>
          <c:order val="1"/>
          <c:tx>
            <c:v>Réel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'IT2'!$I$15:$I$28</c:f>
            </c:strRef>
          </c:cat>
          <c:val>
            <c:numRef>
              <c:f>'IT2'!$K$15:$K$28</c:f>
              <c:numCache/>
            </c:numRef>
          </c:val>
          <c:smooth val="0"/>
        </c:ser>
        <c:axId val="1321856825"/>
        <c:axId val="790104164"/>
      </c:lineChart>
      <c:catAx>
        <c:axId val="1321856825"/>
        <c:scaling>
          <c:orientation val="minMax"/>
          <c:max val="7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790104164"/>
      </c:catAx>
      <c:valAx>
        <c:axId val="7901041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132185682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595959"/>
              </a:solidFill>
              <a:latin typeface="Calibri"/>
            </a:defRPr>
          </a:pPr>
        </a:p>
      </c:txPr>
    </c:legend>
    <c:plotVisOnly val="0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595959"/>
                </a:solidFill>
                <a:latin typeface="Calibri"/>
              </a:defRPr>
            </a:pPr>
            <a:r>
              <a:rPr b="0" i="0" sz="1300">
                <a:solidFill>
                  <a:srgbClr val="595959"/>
                </a:solidFill>
                <a:latin typeface="Calibri"/>
              </a:rPr>
              <a:t>Burndown Chart</a:t>
            </a:r>
          </a:p>
        </c:rich>
      </c:tx>
      <c:overlay val="0"/>
    </c:title>
    <c:plotArea>
      <c:layout/>
      <c:lineChart>
        <c:ser>
          <c:idx val="0"/>
          <c:order val="0"/>
          <c:tx>
            <c:v>Idéal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'IT3'!$I$15:$I$28</c:f>
            </c:strRef>
          </c:cat>
          <c:val>
            <c:numRef>
              <c:f>'IT3'!$J$15:$J$28</c:f>
              <c:numCache/>
            </c:numRef>
          </c:val>
          <c:smooth val="0"/>
        </c:ser>
        <c:ser>
          <c:idx val="1"/>
          <c:order val="1"/>
          <c:tx>
            <c:v>Réel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'IT3'!$I$15:$I$28</c:f>
            </c:strRef>
          </c:cat>
          <c:val>
            <c:numRef>
              <c:f>'IT3'!$K$15:$K$28</c:f>
              <c:numCache/>
            </c:numRef>
          </c:val>
          <c:smooth val="0"/>
        </c:ser>
        <c:axId val="1171019530"/>
        <c:axId val="684797392"/>
      </c:lineChart>
      <c:catAx>
        <c:axId val="1171019530"/>
        <c:scaling>
          <c:orientation val="minMax"/>
          <c:max val="7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684797392"/>
      </c:catAx>
      <c:valAx>
        <c:axId val="6847973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117101953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595959"/>
              </a:solidFill>
              <a:latin typeface="Calibri"/>
            </a:defRPr>
          </a:pPr>
        </a:p>
      </c:txPr>
    </c:legend>
    <c:plotVisOnly val="0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595959"/>
                </a:solidFill>
                <a:latin typeface="Calibri"/>
              </a:defRPr>
            </a:pPr>
            <a:r>
              <a:rPr b="0" i="0" sz="1300">
                <a:solidFill>
                  <a:srgbClr val="595959"/>
                </a:solidFill>
                <a:latin typeface="Calibri"/>
              </a:rPr>
              <a:t>Burndown chart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Idéal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'IT4'!$I$15:$I$22</c:f>
            </c:numRef>
          </c:xVal>
          <c:yVal>
            <c:numRef>
              <c:f>'IT4'!$J$15:$J$22</c:f>
              <c:numCache/>
            </c:numRef>
          </c:yVal>
        </c:ser>
        <c:ser>
          <c:idx val="1"/>
          <c:order val="1"/>
          <c:tx>
            <c:v>Réel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'IT4'!$I$15:$I$22</c:f>
            </c:numRef>
          </c:xVal>
          <c:yVal>
            <c:numRef>
              <c:f>'IT4'!$K$15:$K$22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087531"/>
        <c:axId val="304801636"/>
      </c:scatterChart>
      <c:valAx>
        <c:axId val="1614087531"/>
        <c:scaling>
          <c:orientation val="minMax"/>
          <c:max val="7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304801636"/>
      </c:valAx>
      <c:valAx>
        <c:axId val="3048016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161408753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595959"/>
              </a:solidFill>
              <a:latin typeface="Calibri"/>
            </a:defRPr>
          </a:pPr>
        </a:p>
      </c:txPr>
    </c:legend>
    <c:plotVisOnly val="0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161925</xdr:colOff>
      <xdr:row>42</xdr:row>
      <xdr:rowOff>57150</xdr:rowOff>
    </xdr:from>
    <xdr:ext cx="7296150" cy="36385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571500</xdr:colOff>
      <xdr:row>0</xdr:row>
      <xdr:rowOff>123825</xdr:rowOff>
    </xdr:from>
    <xdr:ext cx="7829550" cy="62198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36</xdr:row>
      <xdr:rowOff>95250</xdr:rowOff>
    </xdr:from>
    <xdr:ext cx="6162675" cy="39814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1095375</xdr:colOff>
      <xdr:row>46</xdr:row>
      <xdr:rowOff>180975</xdr:rowOff>
    </xdr:from>
    <xdr:ext cx="6534150" cy="3829050"/>
    <xdr:graphicFrame>
      <xdr:nvGraphicFramePr>
        <xdr:cNvPr id="4" name="Chart 4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1114425</xdr:colOff>
      <xdr:row>32</xdr:row>
      <xdr:rowOff>171450</xdr:rowOff>
    </xdr:from>
    <xdr:ext cx="6781800" cy="3924300"/>
    <xdr:graphicFrame>
      <xdr:nvGraphicFramePr>
        <xdr:cNvPr id="5" name="Chart 5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981075</xdr:colOff>
      <xdr:row>24</xdr:row>
      <xdr:rowOff>38100</xdr:rowOff>
    </xdr:from>
    <xdr:ext cx="6515100" cy="371475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3.0"/>
    <col customWidth="1" min="3" max="6" width="13.57"/>
    <col customWidth="1" min="7" max="7" width="11.57"/>
    <col customWidth="1" min="8" max="26" width="8.71"/>
  </cols>
  <sheetData>
    <row r="1" ht="13.5" customHeight="1">
      <c r="A1" s="1"/>
      <c r="B1" s="1"/>
      <c r="C1" s="2"/>
      <c r="D1" s="3"/>
      <c r="E1" s="3"/>
      <c r="F1" s="3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5" t="s">
        <v>0</v>
      </c>
      <c r="D2" s="6" t="s">
        <v>1</v>
      </c>
      <c r="E2" s="7" t="s">
        <v>2</v>
      </c>
      <c r="F2" s="6" t="s">
        <v>3</v>
      </c>
      <c r="G2" s="8" t="s">
        <v>4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9" t="s">
        <v>5</v>
      </c>
      <c r="C3" s="10">
        <v>12.0</v>
      </c>
      <c r="D3" s="11">
        <v>0.0</v>
      </c>
      <c r="E3" s="12">
        <v>0.0</v>
      </c>
      <c r="F3" s="12">
        <v>0.0</v>
      </c>
      <c r="G3" s="1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14" t="s">
        <v>6</v>
      </c>
      <c r="C4" s="10">
        <v>6.0</v>
      </c>
      <c r="D4" s="10">
        <v>16.0</v>
      </c>
      <c r="E4" s="15">
        <f>8+15</f>
        <v>23</v>
      </c>
      <c r="F4" s="15">
        <v>8.0</v>
      </c>
      <c r="G4" s="1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4" t="s">
        <v>7</v>
      </c>
      <c r="C5" s="10">
        <v>9.0</v>
      </c>
      <c r="D5" s="10">
        <v>15.0</v>
      </c>
      <c r="E5" s="15">
        <v>4.0</v>
      </c>
      <c r="F5" s="15">
        <v>4.0</v>
      </c>
      <c r="G5" s="1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4" t="s">
        <v>8</v>
      </c>
      <c r="C6" s="10">
        <v>16.0</v>
      </c>
      <c r="D6" s="11">
        <v>0.0</v>
      </c>
      <c r="E6" s="15">
        <v>0.0</v>
      </c>
      <c r="F6" s="16">
        <v>0.0</v>
      </c>
      <c r="G6" s="1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4" t="s">
        <v>9</v>
      </c>
      <c r="C7" s="10">
        <v>15.0</v>
      </c>
      <c r="D7" s="17">
        <v>1.0</v>
      </c>
      <c r="E7" s="11">
        <v>0.0</v>
      </c>
      <c r="F7" s="16">
        <v>0.0</v>
      </c>
      <c r="G7" s="1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4" t="s">
        <v>10</v>
      </c>
      <c r="C8" s="10">
        <v>7.0</v>
      </c>
      <c r="D8" s="17">
        <v>1.0</v>
      </c>
      <c r="E8" s="11">
        <v>0.0</v>
      </c>
      <c r="F8" s="16">
        <v>0.0</v>
      </c>
      <c r="G8" s="1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14" t="s">
        <v>11</v>
      </c>
      <c r="C9" s="10">
        <v>8.0</v>
      </c>
      <c r="D9" s="17">
        <v>10.0</v>
      </c>
      <c r="E9" s="11">
        <v>0.0</v>
      </c>
      <c r="F9" s="16">
        <v>0.0</v>
      </c>
      <c r="G9" s="1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4" t="s">
        <v>12</v>
      </c>
      <c r="C10" s="10">
        <v>9.0</v>
      </c>
      <c r="D10" s="10">
        <v>23.0</v>
      </c>
      <c r="E10" s="15">
        <v>0.0</v>
      </c>
      <c r="F10" s="16">
        <v>0.0</v>
      </c>
      <c r="G10" s="16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4" t="s">
        <v>13</v>
      </c>
      <c r="C11" s="10">
        <v>15.0</v>
      </c>
      <c r="D11" s="10">
        <v>51.0</v>
      </c>
      <c r="E11" s="11">
        <v>0.0</v>
      </c>
      <c r="F11" s="16">
        <v>0.0</v>
      </c>
      <c r="G11" s="1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4" t="s">
        <v>14</v>
      </c>
      <c r="C12" s="10">
        <v>11.0</v>
      </c>
      <c r="D12" s="11">
        <v>0.0</v>
      </c>
      <c r="E12" s="15">
        <v>0.0</v>
      </c>
      <c r="F12" s="16">
        <v>0.0</v>
      </c>
      <c r="G12" s="1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4" t="s">
        <v>15</v>
      </c>
      <c r="C13" s="10">
        <v>9.0</v>
      </c>
      <c r="D13" s="10">
        <v>18.0</v>
      </c>
      <c r="E13" s="15">
        <v>8.0</v>
      </c>
      <c r="F13" s="18">
        <v>0.0</v>
      </c>
      <c r="G13" s="1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4" t="s">
        <v>16</v>
      </c>
      <c r="C14" s="10">
        <v>11.0</v>
      </c>
      <c r="D14" s="10">
        <v>21.0</v>
      </c>
      <c r="E14" s="15">
        <v>8.0</v>
      </c>
      <c r="F14" s="15">
        <v>12.0</v>
      </c>
      <c r="G14" s="1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4" t="s">
        <v>17</v>
      </c>
      <c r="C15" s="10">
        <v>11.0</v>
      </c>
      <c r="D15" s="10">
        <v>26.0</v>
      </c>
      <c r="E15" s="15">
        <v>8.0</v>
      </c>
      <c r="F15" s="15">
        <v>8.0</v>
      </c>
      <c r="G15" s="1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4" t="s">
        <v>18</v>
      </c>
      <c r="C16" s="10">
        <v>21.0</v>
      </c>
      <c r="D16" s="10">
        <v>48.0</v>
      </c>
      <c r="E16" s="15">
        <f>14+4</f>
        <v>18</v>
      </c>
      <c r="F16" s="15">
        <f>15+6</f>
        <v>21</v>
      </c>
      <c r="G16" s="1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4" t="s">
        <v>19</v>
      </c>
      <c r="C17" s="10">
        <v>17.0</v>
      </c>
      <c r="D17" s="10">
        <v>29.0</v>
      </c>
      <c r="E17" s="15">
        <f>6+6</f>
        <v>12</v>
      </c>
      <c r="F17" s="15">
        <v>8.0</v>
      </c>
      <c r="G17" s="1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4" t="s">
        <v>20</v>
      </c>
      <c r="C18" s="10">
        <v>16.0</v>
      </c>
      <c r="D18" s="10">
        <v>29.0</v>
      </c>
      <c r="E18" s="15">
        <v>4.0</v>
      </c>
      <c r="F18" s="15">
        <v>4.0</v>
      </c>
      <c r="G18" s="1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4" t="s">
        <v>21</v>
      </c>
      <c r="C19" s="10">
        <v>21.0</v>
      </c>
      <c r="D19" s="10">
        <v>40.0</v>
      </c>
      <c r="E19" s="16">
        <f t="shared" ref="E19:F19" si="1">15+15</f>
        <v>30</v>
      </c>
      <c r="F19" s="16">
        <f t="shared" si="1"/>
        <v>30</v>
      </c>
      <c r="G19" s="1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4" t="s">
        <v>22</v>
      </c>
      <c r="C20" s="10">
        <v>7.0</v>
      </c>
      <c r="D20" s="10">
        <v>18.0</v>
      </c>
      <c r="E20" s="15">
        <v>12.0</v>
      </c>
      <c r="F20" s="15">
        <v>12.0</v>
      </c>
      <c r="G20" s="1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4" t="s">
        <v>23</v>
      </c>
      <c r="C21" s="10">
        <v>21.0</v>
      </c>
      <c r="D21" s="10">
        <v>43.0</v>
      </c>
      <c r="E21" s="16">
        <f>19+10</f>
        <v>29</v>
      </c>
      <c r="F21" s="16">
        <f>13</f>
        <v>13</v>
      </c>
      <c r="G21" s="1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4" t="s">
        <v>24</v>
      </c>
      <c r="C22" s="10">
        <v>13.0</v>
      </c>
      <c r="D22" s="10">
        <v>38.0</v>
      </c>
      <c r="E22" s="15">
        <v>15.0</v>
      </c>
      <c r="F22" s="15">
        <v>10.0</v>
      </c>
      <c r="G22" s="1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4" t="s">
        <v>25</v>
      </c>
      <c r="C23" s="10">
        <v>9.0</v>
      </c>
      <c r="D23" s="10">
        <v>21.0</v>
      </c>
      <c r="E23" s="15">
        <v>6.0</v>
      </c>
      <c r="F23" s="15">
        <v>6.0</v>
      </c>
      <c r="G23" s="1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4" t="s">
        <v>26</v>
      </c>
      <c r="C24" s="10">
        <v>19.0</v>
      </c>
      <c r="D24" s="10">
        <v>49.0</v>
      </c>
      <c r="E24" s="16">
        <f t="shared" ref="E24:F24" si="2">6+4+8</f>
        <v>18</v>
      </c>
      <c r="F24" s="15">
        <f t="shared" si="2"/>
        <v>18</v>
      </c>
      <c r="G24" s="1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4" t="s">
        <v>27</v>
      </c>
      <c r="C25" s="10">
        <v>14.0</v>
      </c>
      <c r="D25" s="10">
        <v>38.0</v>
      </c>
      <c r="E25" s="15">
        <v>8.0</v>
      </c>
      <c r="F25" s="15">
        <v>10.0</v>
      </c>
      <c r="G25" s="1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4" t="s">
        <v>28</v>
      </c>
      <c r="C26" s="10">
        <v>8.0</v>
      </c>
      <c r="D26" s="10">
        <v>25.0</v>
      </c>
      <c r="E26" s="15">
        <v>4.0</v>
      </c>
      <c r="F26" s="15">
        <v>4.0</v>
      </c>
      <c r="G26" s="1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4" t="s">
        <v>29</v>
      </c>
      <c r="C27" s="10">
        <v>16.0</v>
      </c>
      <c r="D27" s="10">
        <v>52.0</v>
      </c>
      <c r="E27" s="15">
        <f>15+14</f>
        <v>29</v>
      </c>
      <c r="F27" s="19">
        <v>12.0</v>
      </c>
      <c r="G27" s="1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4" t="s">
        <v>30</v>
      </c>
      <c r="C28" s="10">
        <v>15.0</v>
      </c>
      <c r="D28" s="10">
        <v>46.0</v>
      </c>
      <c r="E28" s="15">
        <v>10.0</v>
      </c>
      <c r="F28" s="19">
        <v>12.0</v>
      </c>
      <c r="G28" s="1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4" t="s">
        <v>31</v>
      </c>
      <c r="C29" s="10">
        <v>5.0</v>
      </c>
      <c r="D29" s="10">
        <v>16.0</v>
      </c>
      <c r="E29" s="15">
        <v>5.0</v>
      </c>
      <c r="F29" s="15">
        <v>5.0</v>
      </c>
      <c r="G29" s="1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20" t="s">
        <v>32</v>
      </c>
      <c r="C30" s="21">
        <v>9.0</v>
      </c>
      <c r="D30" s="10">
        <v>31.0</v>
      </c>
      <c r="E30" s="22">
        <v>10.0</v>
      </c>
      <c r="F30" s="22">
        <v>10.0</v>
      </c>
      <c r="G30" s="2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23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23"/>
      <c r="C32" s="24" t="s">
        <v>33</v>
      </c>
      <c r="D32" s="25" t="s">
        <v>34</v>
      </c>
      <c r="E32" s="26" t="s">
        <v>35</v>
      </c>
      <c r="F32" s="25" t="s">
        <v>36</v>
      </c>
      <c r="G32" s="27" t="s">
        <v>37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23" t="s">
        <v>38</v>
      </c>
      <c r="C33" s="1">
        <f t="shared" ref="C33:G33" si="3">SUM(C3:C30)</f>
        <v>350</v>
      </c>
      <c r="D33" s="1">
        <f t="shared" si="3"/>
        <v>705</v>
      </c>
      <c r="E33" s="1">
        <f t="shared" si="3"/>
        <v>261</v>
      </c>
      <c r="F33" s="1">
        <f t="shared" si="3"/>
        <v>207</v>
      </c>
      <c r="G33" s="1">
        <f t="shared" si="3"/>
        <v>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28" t="s">
        <v>39</v>
      </c>
      <c r="C36" s="29"/>
      <c r="D36" s="29"/>
      <c r="E36" s="29"/>
      <c r="F36" s="29"/>
      <c r="G36" s="30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31" t="s">
        <v>36</v>
      </c>
      <c r="C37" s="32" t="s">
        <v>40</v>
      </c>
      <c r="D37" s="33"/>
      <c r="E37" s="33"/>
      <c r="F37" s="34"/>
      <c r="G37" s="3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36"/>
      <c r="C38" s="37" t="s">
        <v>41</v>
      </c>
      <c r="D38" s="1"/>
      <c r="E38" s="1"/>
      <c r="G38" s="3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36"/>
      <c r="C39" s="37" t="s">
        <v>42</v>
      </c>
      <c r="D39" s="1"/>
      <c r="E39" s="1"/>
      <c r="F39" s="1"/>
      <c r="G39" s="3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39"/>
      <c r="C40" s="40" t="s">
        <v>43</v>
      </c>
      <c r="D40" s="41"/>
      <c r="E40" s="41"/>
      <c r="F40" s="41"/>
      <c r="G40" s="4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36:G36"/>
  </mergeCells>
  <printOptions/>
  <pageMargins bottom="0.0" footer="0.0" header="0.0" left="0.0" right="0.0" top="0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53.86"/>
    <col customWidth="1" min="3" max="4" width="17.0"/>
    <col customWidth="1" min="5" max="5" width="31.71"/>
    <col customWidth="1" min="6" max="6" width="25.57"/>
    <col customWidth="1" min="7" max="7" width="14.43"/>
    <col customWidth="1" min="8" max="8" width="17.0"/>
    <col customWidth="1" min="9" max="27" width="14.43"/>
  </cols>
  <sheetData>
    <row r="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</row>
    <row r="2" ht="20.25" customHeight="1">
      <c r="A2" s="43"/>
      <c r="B2" s="44" t="s">
        <v>44</v>
      </c>
      <c r="C2" s="45"/>
      <c r="D2" s="45"/>
      <c r="E2" s="45"/>
      <c r="F2" s="46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</row>
    <row r="3" ht="18.0" customHeight="1">
      <c r="A3" s="43"/>
      <c r="B3" s="47" t="s">
        <v>45</v>
      </c>
      <c r="C3" s="47" t="s">
        <v>46</v>
      </c>
      <c r="D3" s="47" t="s">
        <v>47</v>
      </c>
      <c r="E3" s="47" t="s">
        <v>48</v>
      </c>
      <c r="F3" s="47" t="s">
        <v>49</v>
      </c>
      <c r="G3" s="43"/>
      <c r="H3" s="48" t="s">
        <v>50</v>
      </c>
      <c r="I3" s="49"/>
      <c r="J3" s="49">
        <v>88.0</v>
      </c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</row>
    <row r="4" ht="15.0" customHeight="1">
      <c r="A4" s="43"/>
      <c r="B4" s="50" t="s">
        <v>51</v>
      </c>
      <c r="C4" s="51" t="s">
        <v>52</v>
      </c>
      <c r="D4" s="51" t="s">
        <v>53</v>
      </c>
      <c r="E4" s="52">
        <v>3.0</v>
      </c>
      <c r="F4" s="52">
        <v>3.0</v>
      </c>
      <c r="G4" s="43"/>
      <c r="H4" s="48" t="s">
        <v>54</v>
      </c>
      <c r="I4" s="49"/>
      <c r="J4" s="53">
        <f>E9+E35+E49+E62+IT1H11+E89+E103+E130</f>
        <v>84.417</v>
      </c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</row>
    <row r="5" ht="15.0" customHeight="1">
      <c r="A5" s="43"/>
      <c r="B5" s="50" t="s">
        <v>55</v>
      </c>
      <c r="C5" s="51" t="s">
        <v>56</v>
      </c>
      <c r="D5" s="51" t="s">
        <v>57</v>
      </c>
      <c r="E5" s="52">
        <v>0.25</v>
      </c>
      <c r="F5" s="52">
        <v>1.0</v>
      </c>
      <c r="G5" s="43"/>
      <c r="H5" s="48" t="s">
        <v>58</v>
      </c>
      <c r="I5" s="49"/>
      <c r="J5" s="49">
        <f>F9+F35+F49+F62+F79+F89+F103+F130</f>
        <v>100</v>
      </c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</row>
    <row r="6" ht="15.0" customHeight="1">
      <c r="A6" s="43"/>
      <c r="B6" s="50" t="s">
        <v>59</v>
      </c>
      <c r="C6" s="51" t="s">
        <v>56</v>
      </c>
      <c r="D6" s="51" t="s">
        <v>57</v>
      </c>
      <c r="E6" s="52">
        <v>3.0</v>
      </c>
      <c r="F6" s="52">
        <v>1.0</v>
      </c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</row>
    <row r="7">
      <c r="A7" s="43"/>
      <c r="B7" s="50" t="s">
        <v>60</v>
      </c>
      <c r="C7" s="51" t="s">
        <v>61</v>
      </c>
      <c r="D7" s="51" t="s">
        <v>62</v>
      </c>
      <c r="E7" s="52">
        <v>6.0</v>
      </c>
      <c r="F7" s="52">
        <v>3.0</v>
      </c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</row>
    <row r="8" ht="15.0" customHeight="1">
      <c r="A8" s="43"/>
      <c r="B8" s="50" t="s">
        <v>63</v>
      </c>
      <c r="C8" s="51"/>
      <c r="D8" s="51"/>
      <c r="E8" s="52">
        <v>8.0</v>
      </c>
      <c r="F8" s="52">
        <v>4.0</v>
      </c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</row>
    <row r="9" ht="15.75" customHeight="1">
      <c r="A9" s="54"/>
      <c r="B9" s="55" t="s">
        <v>38</v>
      </c>
      <c r="C9" s="55"/>
      <c r="D9" s="55"/>
      <c r="E9" s="56">
        <f t="shared" ref="E9:F9" si="1">SUM(E4:E8)</f>
        <v>20.25</v>
      </c>
      <c r="F9" s="57">
        <f t="shared" si="1"/>
        <v>12</v>
      </c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</row>
    <row r="10" ht="15.75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</row>
    <row r="11" ht="16.5" customHeight="1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</row>
    <row r="12" ht="16.5" customHeight="1">
      <c r="A12" s="43"/>
      <c r="B12" s="44" t="s">
        <v>64</v>
      </c>
      <c r="C12" s="45"/>
      <c r="D12" s="45"/>
      <c r="E12" s="45"/>
      <c r="F12" s="46"/>
      <c r="G12" s="43"/>
      <c r="H12" s="43" t="s">
        <v>65</v>
      </c>
      <c r="I12" s="58">
        <v>13.0</v>
      </c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ht="16.5" customHeight="1">
      <c r="A13" s="43"/>
      <c r="B13" s="47" t="s">
        <v>45</v>
      </c>
      <c r="C13" s="47" t="s">
        <v>46</v>
      </c>
      <c r="D13" s="47" t="s">
        <v>47</v>
      </c>
      <c r="E13" s="47" t="s">
        <v>48</v>
      </c>
      <c r="F13" s="47" t="s">
        <v>49</v>
      </c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  <row r="14">
      <c r="A14" s="43"/>
      <c r="B14" s="50" t="s">
        <v>66</v>
      </c>
      <c r="C14" s="51"/>
      <c r="D14" s="51"/>
      <c r="E14" s="52">
        <v>0.5</v>
      </c>
      <c r="F14" s="52">
        <v>0.5</v>
      </c>
      <c r="G14" s="43"/>
      <c r="H14" s="43"/>
      <c r="I14" s="43"/>
      <c r="J14" s="59"/>
      <c r="K14" s="59"/>
      <c r="L14" s="59"/>
      <c r="M14" s="59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</row>
    <row r="15" ht="16.5" customHeight="1">
      <c r="A15" s="43"/>
      <c r="B15" s="50" t="s">
        <v>67</v>
      </c>
      <c r="C15" s="51" t="s">
        <v>68</v>
      </c>
      <c r="D15" s="51" t="s">
        <v>69</v>
      </c>
      <c r="E15" s="52">
        <v>2.0</v>
      </c>
      <c r="F15" s="52">
        <v>1.5</v>
      </c>
      <c r="G15" s="43"/>
      <c r="H15" s="43"/>
      <c r="I15" s="43"/>
      <c r="J15" s="60" t="s">
        <v>38</v>
      </c>
      <c r="K15" s="61"/>
      <c r="L15" s="62" t="s">
        <v>5</v>
      </c>
      <c r="M15" s="61"/>
      <c r="N15" s="62" t="s">
        <v>8</v>
      </c>
      <c r="O15" s="61"/>
      <c r="P15" s="62" t="s">
        <v>9</v>
      </c>
      <c r="Q15" s="61"/>
      <c r="R15" s="62" t="s">
        <v>10</v>
      </c>
      <c r="S15" s="61"/>
      <c r="T15" s="62" t="s">
        <v>11</v>
      </c>
      <c r="U15" s="61"/>
      <c r="V15" s="62" t="s">
        <v>13</v>
      </c>
      <c r="W15" s="61"/>
      <c r="X15" s="62" t="s">
        <v>14</v>
      </c>
      <c r="Y15" s="61"/>
      <c r="Z15" s="62" t="s">
        <v>70</v>
      </c>
      <c r="AA15" s="61"/>
    </row>
    <row r="16" ht="15.75" customHeight="1">
      <c r="A16" s="43"/>
      <c r="B16" s="50" t="s">
        <v>71</v>
      </c>
      <c r="C16" s="51"/>
      <c r="D16" s="51"/>
      <c r="E16" s="52">
        <v>1.25</v>
      </c>
      <c r="F16" s="52">
        <v>1.0</v>
      </c>
      <c r="G16" s="43"/>
      <c r="H16" s="63" t="s">
        <v>72</v>
      </c>
      <c r="I16" s="61"/>
      <c r="J16" s="64" t="s">
        <v>73</v>
      </c>
      <c r="K16" s="65" t="s">
        <v>74</v>
      </c>
      <c r="L16" s="64" t="s">
        <v>73</v>
      </c>
      <c r="M16" s="65" t="s">
        <v>74</v>
      </c>
      <c r="N16" s="64" t="s">
        <v>73</v>
      </c>
      <c r="O16" s="65" t="s">
        <v>74</v>
      </c>
      <c r="P16" s="64" t="s">
        <v>73</v>
      </c>
      <c r="Q16" s="65" t="s">
        <v>74</v>
      </c>
      <c r="R16" s="64" t="s">
        <v>73</v>
      </c>
      <c r="S16" s="65" t="s">
        <v>74</v>
      </c>
      <c r="T16" s="64" t="s">
        <v>73</v>
      </c>
      <c r="U16" s="65" t="s">
        <v>74</v>
      </c>
      <c r="V16" s="64" t="s">
        <v>73</v>
      </c>
      <c r="W16" s="65" t="s">
        <v>74</v>
      </c>
      <c r="X16" s="64" t="s">
        <v>73</v>
      </c>
      <c r="Y16" s="65" t="s">
        <v>74</v>
      </c>
      <c r="Z16" s="64" t="s">
        <v>73</v>
      </c>
      <c r="AA16" s="65" t="s">
        <v>74</v>
      </c>
    </row>
    <row r="17" ht="15.75" customHeight="1">
      <c r="A17" s="43"/>
      <c r="B17" s="50" t="s">
        <v>75</v>
      </c>
      <c r="C17" s="51" t="s">
        <v>69</v>
      </c>
      <c r="D17" s="51" t="s">
        <v>68</v>
      </c>
      <c r="E17" s="52">
        <v>1.5</v>
      </c>
      <c r="F17" s="52">
        <v>1.0</v>
      </c>
      <c r="G17" s="43"/>
      <c r="H17" s="66">
        <v>46077.0</v>
      </c>
      <c r="I17" s="67">
        <v>0.0</v>
      </c>
      <c r="J17" s="43">
        <f t="shared" ref="J17:K17" si="2">L17+N17+P17+R17+T17+V17+X17+Z17</f>
        <v>100</v>
      </c>
      <c r="K17" s="68">
        <f t="shared" si="2"/>
        <v>110.417</v>
      </c>
      <c r="L17" s="69">
        <f>F9</f>
        <v>12</v>
      </c>
      <c r="M17" s="70">
        <f>E9</f>
        <v>20.25</v>
      </c>
      <c r="N17" s="69">
        <f>F35</f>
        <v>16</v>
      </c>
      <c r="O17" s="69">
        <f>E35</f>
        <v>21</v>
      </c>
      <c r="P17" s="69">
        <f>F49</f>
        <v>15</v>
      </c>
      <c r="Q17" s="69">
        <f>E49</f>
        <v>7</v>
      </c>
      <c r="R17" s="69">
        <f>F62</f>
        <v>7</v>
      </c>
      <c r="S17" s="69">
        <f>E62</f>
        <v>2.75</v>
      </c>
      <c r="T17" s="69">
        <f>F79</f>
        <v>8</v>
      </c>
      <c r="U17" s="69">
        <f>IT1H11</f>
        <v>2</v>
      </c>
      <c r="V17" s="69">
        <f t="shared" ref="V17:W17" si="3">$F$89</f>
        <v>26</v>
      </c>
      <c r="W17" s="69">
        <f t="shared" si="3"/>
        <v>26</v>
      </c>
      <c r="X17" s="69">
        <f>F103</f>
        <v>11</v>
      </c>
      <c r="Y17" s="69">
        <f>E103</f>
        <v>11.167</v>
      </c>
      <c r="Z17" s="69">
        <f>F130</f>
        <v>5</v>
      </c>
      <c r="AA17" s="69">
        <f>E130</f>
        <v>20.25</v>
      </c>
    </row>
    <row r="18" ht="15.75" customHeight="1">
      <c r="A18" s="43"/>
      <c r="B18" s="50" t="s">
        <v>76</v>
      </c>
      <c r="C18" s="51" t="s">
        <v>53</v>
      </c>
      <c r="D18" s="51" t="s">
        <v>52</v>
      </c>
      <c r="E18" s="52">
        <v>1.0</v>
      </c>
      <c r="F18" s="52">
        <v>0.75</v>
      </c>
      <c r="G18" s="71"/>
      <c r="H18" s="66">
        <v>46078.0</v>
      </c>
      <c r="I18" s="67">
        <v>1.0</v>
      </c>
      <c r="J18" s="72">
        <f t="shared" ref="J18:K18" si="4">L18+N18+P18+R18+T18+V18+X18+Z18</f>
        <v>92.30769231</v>
      </c>
      <c r="K18" s="43">
        <f t="shared" si="4"/>
        <v>105.667</v>
      </c>
      <c r="L18" s="69">
        <f t="shared" ref="L18:L29" si="6">$L$17*(1-1/$I$12*I18)</f>
        <v>11.07692308</v>
      </c>
      <c r="M18" s="69">
        <v>17.25</v>
      </c>
      <c r="N18" s="69">
        <f t="shared" ref="N18:N29" si="7">$N$17*(1-1/$I$12*I18)</f>
        <v>14.76923077</v>
      </c>
      <c r="O18" s="69">
        <v>20.0</v>
      </c>
      <c r="P18" s="69">
        <f t="shared" ref="P18:P29" si="8">$P$17*(1-1/$I$12*I18)</f>
        <v>13.84615385</v>
      </c>
      <c r="Q18" s="69">
        <v>7.0</v>
      </c>
      <c r="R18" s="69">
        <f t="shared" ref="R18:R29" si="9">$R$17*(1-1/$I$12*I18)</f>
        <v>6.461538462</v>
      </c>
      <c r="S18" s="69">
        <v>2.75</v>
      </c>
      <c r="T18" s="69">
        <f t="shared" ref="T18:T29" si="10">$T$17*(1-1/$I$12*I18)</f>
        <v>7.384615385</v>
      </c>
      <c r="U18" s="69">
        <v>2.0</v>
      </c>
      <c r="V18" s="73">
        <f t="shared" ref="V18:V30" si="11">V17-((1/$I$12)*$V$17)</f>
        <v>24</v>
      </c>
      <c r="W18" s="69">
        <f t="shared" ref="W18:W30" si="12">$F$89</f>
        <v>26</v>
      </c>
      <c r="X18" s="69">
        <f t="shared" ref="X18:X29" si="13">$X$17*(1-1/$I$12*I18)</f>
        <v>10.15384615</v>
      </c>
      <c r="Y18" s="69">
        <v>11.167</v>
      </c>
      <c r="Z18" s="69">
        <f t="shared" ref="Z18:Z29" si="14">$Z$17*(1-1/$I$12*I18)</f>
        <v>4.615384615</v>
      </c>
      <c r="AA18" s="69">
        <v>19.5</v>
      </c>
    </row>
    <row r="19" ht="15.75" customHeight="1">
      <c r="A19" s="43"/>
      <c r="B19" s="50" t="s">
        <v>77</v>
      </c>
      <c r="C19" s="51" t="s">
        <v>53</v>
      </c>
      <c r="D19" s="51" t="s">
        <v>52</v>
      </c>
      <c r="E19" s="52">
        <v>1.25</v>
      </c>
      <c r="F19" s="52">
        <v>1.0</v>
      </c>
      <c r="G19" s="71"/>
      <c r="H19" s="66">
        <v>46079.0</v>
      </c>
      <c r="I19" s="67">
        <v>2.0</v>
      </c>
      <c r="J19" s="72">
        <f t="shared" ref="J19:K19" si="5">L19+N19+P19+R19+T19+V19+X19+Z19</f>
        <v>84.61538462</v>
      </c>
      <c r="K19" s="43">
        <f t="shared" si="5"/>
        <v>99.417</v>
      </c>
      <c r="L19" s="69">
        <f t="shared" si="6"/>
        <v>10.15384615</v>
      </c>
      <c r="M19" s="69">
        <v>13.5</v>
      </c>
      <c r="N19" s="69">
        <f t="shared" si="7"/>
        <v>13.53846154</v>
      </c>
      <c r="O19" s="69">
        <v>18.5</v>
      </c>
      <c r="P19" s="69">
        <f t="shared" si="8"/>
        <v>12.69230769</v>
      </c>
      <c r="Q19" s="69">
        <v>7.0</v>
      </c>
      <c r="R19" s="69">
        <f t="shared" si="9"/>
        <v>5.923076923</v>
      </c>
      <c r="S19" s="69">
        <v>2.75</v>
      </c>
      <c r="T19" s="69">
        <f t="shared" si="10"/>
        <v>6.769230769</v>
      </c>
      <c r="U19" s="69">
        <v>2.0</v>
      </c>
      <c r="V19" s="73">
        <f t="shared" si="11"/>
        <v>22</v>
      </c>
      <c r="W19" s="69">
        <f t="shared" si="12"/>
        <v>26</v>
      </c>
      <c r="X19" s="69">
        <f t="shared" si="13"/>
        <v>9.307692308</v>
      </c>
      <c r="Y19" s="69">
        <v>11.167</v>
      </c>
      <c r="Z19" s="69">
        <f t="shared" si="14"/>
        <v>4.230769231</v>
      </c>
      <c r="AA19" s="69">
        <v>18.5</v>
      </c>
    </row>
    <row r="20" ht="15.75" customHeight="1">
      <c r="A20" s="43"/>
      <c r="B20" s="50" t="s">
        <v>78</v>
      </c>
      <c r="C20" s="51" t="s">
        <v>53</v>
      </c>
      <c r="D20" s="51" t="s">
        <v>52</v>
      </c>
      <c r="E20" s="52">
        <v>2.0</v>
      </c>
      <c r="F20" s="52">
        <v>1.5</v>
      </c>
      <c r="G20" s="71"/>
      <c r="H20" s="66">
        <v>46080.0</v>
      </c>
      <c r="I20" s="67">
        <v>3.0</v>
      </c>
      <c r="J20" s="72">
        <f t="shared" ref="J20:K20" si="15">L20+N20+P20+R20+T20+V20+X20+Z20</f>
        <v>76.92307692</v>
      </c>
      <c r="K20" s="43">
        <f t="shared" si="15"/>
        <v>90.417</v>
      </c>
      <c r="L20" s="69">
        <f t="shared" si="6"/>
        <v>9.230769231</v>
      </c>
      <c r="M20" s="69">
        <v>7.0</v>
      </c>
      <c r="N20" s="69">
        <f t="shared" si="7"/>
        <v>12.30769231</v>
      </c>
      <c r="O20" s="69">
        <v>17.0</v>
      </c>
      <c r="P20" s="69">
        <f t="shared" si="8"/>
        <v>11.53846154</v>
      </c>
      <c r="Q20" s="69">
        <v>7.0</v>
      </c>
      <c r="R20" s="69">
        <f t="shared" si="9"/>
        <v>5.384615385</v>
      </c>
      <c r="S20" s="69">
        <v>2.75</v>
      </c>
      <c r="T20" s="69">
        <f t="shared" si="10"/>
        <v>6.153846154</v>
      </c>
      <c r="U20" s="69">
        <v>2.0</v>
      </c>
      <c r="V20" s="73">
        <f t="shared" si="11"/>
        <v>20</v>
      </c>
      <c r="W20" s="69">
        <f t="shared" si="12"/>
        <v>26</v>
      </c>
      <c r="X20" s="69">
        <f t="shared" si="13"/>
        <v>8.461538462</v>
      </c>
      <c r="Y20" s="69">
        <v>11.167</v>
      </c>
      <c r="Z20" s="69">
        <f t="shared" si="14"/>
        <v>3.846153846</v>
      </c>
      <c r="AA20" s="69">
        <v>17.5</v>
      </c>
    </row>
    <row r="21" ht="15.75" customHeight="1">
      <c r="A21" s="43"/>
      <c r="B21" s="50" t="s">
        <v>79</v>
      </c>
      <c r="C21" s="51" t="s">
        <v>80</v>
      </c>
      <c r="D21" s="51" t="s">
        <v>80</v>
      </c>
      <c r="E21" s="52" t="s">
        <v>80</v>
      </c>
      <c r="F21" s="52"/>
      <c r="G21" s="71"/>
      <c r="H21" s="66">
        <v>46081.0</v>
      </c>
      <c r="I21" s="67">
        <v>4.0</v>
      </c>
      <c r="J21" s="72">
        <f t="shared" ref="J21:K21" si="16">L21+N21+P21+R21+T21+V21+X21+Z21</f>
        <v>69.23076923</v>
      </c>
      <c r="K21" s="43">
        <f t="shared" si="16"/>
        <v>80.167</v>
      </c>
      <c r="L21" s="69">
        <f t="shared" si="6"/>
        <v>8.307692308</v>
      </c>
      <c r="M21" s="69">
        <v>0.0</v>
      </c>
      <c r="N21" s="69">
        <f t="shared" si="7"/>
        <v>11.07692308</v>
      </c>
      <c r="O21" s="69">
        <v>15.0</v>
      </c>
      <c r="P21" s="69">
        <f t="shared" si="8"/>
        <v>10.38461538</v>
      </c>
      <c r="Q21" s="69">
        <v>7.0</v>
      </c>
      <c r="R21" s="69">
        <f t="shared" si="9"/>
        <v>4.846153846</v>
      </c>
      <c r="S21" s="69">
        <v>2.75</v>
      </c>
      <c r="T21" s="69">
        <f t="shared" si="10"/>
        <v>5.538461538</v>
      </c>
      <c r="U21" s="69">
        <v>2.0</v>
      </c>
      <c r="V21" s="73">
        <f t="shared" si="11"/>
        <v>18</v>
      </c>
      <c r="W21" s="69">
        <f t="shared" si="12"/>
        <v>26</v>
      </c>
      <c r="X21" s="69">
        <f t="shared" si="13"/>
        <v>7.615384615</v>
      </c>
      <c r="Y21" s="69">
        <v>11.167</v>
      </c>
      <c r="Z21" s="69">
        <f t="shared" si="14"/>
        <v>3.461538462</v>
      </c>
      <c r="AA21" s="69">
        <v>16.25</v>
      </c>
    </row>
    <row r="22" ht="15.75" customHeight="1">
      <c r="A22" s="43"/>
      <c r="B22" s="50" t="s">
        <v>81</v>
      </c>
      <c r="C22" s="51"/>
      <c r="D22" s="51"/>
      <c r="E22" s="52">
        <v>1.25</v>
      </c>
      <c r="F22" s="52">
        <v>1.0</v>
      </c>
      <c r="G22" s="71"/>
      <c r="H22" s="66">
        <v>46082.0</v>
      </c>
      <c r="I22" s="67">
        <v>5.0</v>
      </c>
      <c r="J22" s="72">
        <f t="shared" ref="J22:K22" si="17">L22+N22+P22+R22+T22+V22+X22+Z22</f>
        <v>61.53846154</v>
      </c>
      <c r="K22" s="43">
        <f t="shared" si="17"/>
        <v>75.917</v>
      </c>
      <c r="L22" s="69">
        <f t="shared" si="6"/>
        <v>7.384615385</v>
      </c>
      <c r="M22" s="69">
        <v>0.0</v>
      </c>
      <c r="N22" s="69">
        <f t="shared" si="7"/>
        <v>9.846153846</v>
      </c>
      <c r="O22" s="69">
        <v>13.0</v>
      </c>
      <c r="P22" s="69">
        <f t="shared" si="8"/>
        <v>9.230769231</v>
      </c>
      <c r="Q22" s="69">
        <v>6.25</v>
      </c>
      <c r="R22" s="69">
        <f t="shared" si="9"/>
        <v>4.307692308</v>
      </c>
      <c r="S22" s="69">
        <v>2.75</v>
      </c>
      <c r="T22" s="69">
        <f t="shared" si="10"/>
        <v>4.923076923</v>
      </c>
      <c r="U22" s="69">
        <v>2.0</v>
      </c>
      <c r="V22" s="73">
        <f t="shared" si="11"/>
        <v>16</v>
      </c>
      <c r="W22" s="69">
        <f t="shared" si="12"/>
        <v>26</v>
      </c>
      <c r="X22" s="69">
        <f t="shared" si="13"/>
        <v>6.769230769</v>
      </c>
      <c r="Y22" s="69">
        <v>11.167</v>
      </c>
      <c r="Z22" s="69">
        <f t="shared" si="14"/>
        <v>3.076923077</v>
      </c>
      <c r="AA22" s="69">
        <v>14.75</v>
      </c>
    </row>
    <row r="23" ht="15.75" customHeight="1">
      <c r="A23" s="43"/>
      <c r="B23" s="50" t="s">
        <v>82</v>
      </c>
      <c r="C23" s="51"/>
      <c r="D23" s="51"/>
      <c r="E23" s="52">
        <v>1.0</v>
      </c>
      <c r="F23" s="52">
        <v>0.75</v>
      </c>
      <c r="G23" s="71"/>
      <c r="H23" s="66">
        <v>46083.0</v>
      </c>
      <c r="I23" s="67">
        <v>6.0</v>
      </c>
      <c r="J23" s="72">
        <f t="shared" ref="J23:K23" si="18">L23+N23+P23+R23+T23+V23+X23+Z23</f>
        <v>53.84615385</v>
      </c>
      <c r="K23" s="43">
        <f t="shared" si="18"/>
        <v>70.417</v>
      </c>
      <c r="L23" s="69">
        <f t="shared" si="6"/>
        <v>6.461538462</v>
      </c>
      <c r="M23" s="69">
        <v>0.0</v>
      </c>
      <c r="N23" s="69">
        <f t="shared" si="7"/>
        <v>8.615384615</v>
      </c>
      <c r="O23" s="69">
        <v>11.0</v>
      </c>
      <c r="P23" s="69">
        <f t="shared" si="8"/>
        <v>8.076923077</v>
      </c>
      <c r="Q23" s="69">
        <v>5.0</v>
      </c>
      <c r="R23" s="69">
        <f t="shared" si="9"/>
        <v>3.769230769</v>
      </c>
      <c r="S23" s="69">
        <v>2.75</v>
      </c>
      <c r="T23" s="69">
        <f t="shared" si="10"/>
        <v>4.307692308</v>
      </c>
      <c r="U23" s="69">
        <v>2.0</v>
      </c>
      <c r="V23" s="73">
        <f t="shared" si="11"/>
        <v>14</v>
      </c>
      <c r="W23" s="69">
        <f t="shared" si="12"/>
        <v>26</v>
      </c>
      <c r="X23" s="69">
        <f t="shared" si="13"/>
        <v>5.923076923</v>
      </c>
      <c r="Y23" s="69">
        <v>10.417</v>
      </c>
      <c r="Z23" s="69">
        <f t="shared" si="14"/>
        <v>2.692307692</v>
      </c>
      <c r="AA23" s="69">
        <v>13.25</v>
      </c>
    </row>
    <row r="24" ht="15.75" customHeight="1">
      <c r="A24" s="43"/>
      <c r="B24" s="50" t="s">
        <v>83</v>
      </c>
      <c r="C24" s="51" t="s">
        <v>57</v>
      </c>
      <c r="D24" s="51" t="s">
        <v>68</v>
      </c>
      <c r="E24" s="52">
        <v>1.0</v>
      </c>
      <c r="F24" s="52">
        <v>0.75</v>
      </c>
      <c r="G24" s="71"/>
      <c r="H24" s="66">
        <v>46084.0</v>
      </c>
      <c r="I24" s="67">
        <v>7.0</v>
      </c>
      <c r="J24" s="74">
        <f t="shared" ref="J24:K24" si="19">L24+N24+P24+R24+T24+V24+X24+Z24</f>
        <v>46.15384615</v>
      </c>
      <c r="K24" s="43">
        <f t="shared" si="19"/>
        <v>64.417</v>
      </c>
      <c r="L24" s="69">
        <f t="shared" si="6"/>
        <v>5.538461538</v>
      </c>
      <c r="M24" s="69">
        <v>0.0</v>
      </c>
      <c r="N24" s="69">
        <f t="shared" si="7"/>
        <v>7.384615385</v>
      </c>
      <c r="O24" s="69">
        <v>9.0</v>
      </c>
      <c r="P24" s="69">
        <f t="shared" si="8"/>
        <v>6.923076923</v>
      </c>
      <c r="Q24" s="69">
        <v>3.75</v>
      </c>
      <c r="R24" s="69">
        <f t="shared" si="9"/>
        <v>3.230769231</v>
      </c>
      <c r="S24" s="69">
        <v>2.5</v>
      </c>
      <c r="T24" s="69">
        <f t="shared" si="10"/>
        <v>3.692307692</v>
      </c>
      <c r="U24" s="69">
        <v>2.0</v>
      </c>
      <c r="V24" s="75">
        <f t="shared" si="11"/>
        <v>12</v>
      </c>
      <c r="W24" s="69">
        <f t="shared" si="12"/>
        <v>26</v>
      </c>
      <c r="X24" s="69">
        <f t="shared" si="13"/>
        <v>5.076923077</v>
      </c>
      <c r="Y24" s="69">
        <v>9.417</v>
      </c>
      <c r="Z24" s="69">
        <f t="shared" si="14"/>
        <v>2.307692308</v>
      </c>
      <c r="AA24" s="69">
        <v>11.75</v>
      </c>
    </row>
    <row r="25" ht="15.75" customHeight="1">
      <c r="A25" s="43"/>
      <c r="B25" s="50" t="s">
        <v>84</v>
      </c>
      <c r="C25" s="51" t="s">
        <v>56</v>
      </c>
      <c r="D25" s="51" t="s">
        <v>53</v>
      </c>
      <c r="E25" s="52">
        <v>0.5</v>
      </c>
      <c r="F25" s="52">
        <v>0.5</v>
      </c>
      <c r="G25" s="71"/>
      <c r="H25" s="66">
        <v>46085.0</v>
      </c>
      <c r="I25" s="67">
        <v>8.0</v>
      </c>
      <c r="J25" s="72">
        <f t="shared" ref="J25:K25" si="20">L25+N25+P25+R25+T25+V25+X25+Z25</f>
        <v>38.46153846</v>
      </c>
      <c r="K25" s="43">
        <f t="shared" si="20"/>
        <v>57.667</v>
      </c>
      <c r="L25" s="69">
        <f t="shared" si="6"/>
        <v>4.615384615</v>
      </c>
      <c r="M25" s="69">
        <v>0.0</v>
      </c>
      <c r="N25" s="69">
        <f t="shared" si="7"/>
        <v>6.153846154</v>
      </c>
      <c r="O25" s="69">
        <v>7.0</v>
      </c>
      <c r="P25" s="69">
        <f t="shared" si="8"/>
        <v>5.769230769</v>
      </c>
      <c r="Q25" s="69">
        <v>2.75</v>
      </c>
      <c r="R25" s="69">
        <f t="shared" si="9"/>
        <v>2.692307692</v>
      </c>
      <c r="S25" s="69">
        <v>2.0</v>
      </c>
      <c r="T25" s="69">
        <f t="shared" si="10"/>
        <v>3.076923077</v>
      </c>
      <c r="U25" s="69">
        <v>1.75</v>
      </c>
      <c r="V25" s="73">
        <f t="shared" si="11"/>
        <v>10</v>
      </c>
      <c r="W25" s="69">
        <f t="shared" si="12"/>
        <v>26</v>
      </c>
      <c r="X25" s="69">
        <f t="shared" si="13"/>
        <v>4.230769231</v>
      </c>
      <c r="Y25" s="69">
        <v>8.167</v>
      </c>
      <c r="Z25" s="69">
        <f t="shared" si="14"/>
        <v>1.923076923</v>
      </c>
      <c r="AA25" s="69">
        <v>10.0</v>
      </c>
    </row>
    <row r="26" ht="15.75" customHeight="1">
      <c r="A26" s="43"/>
      <c r="B26" s="50" t="s">
        <v>85</v>
      </c>
      <c r="C26" s="51"/>
      <c r="D26" s="51"/>
      <c r="E26" s="52">
        <v>0.5</v>
      </c>
      <c r="F26" s="52">
        <v>0.5</v>
      </c>
      <c r="G26" s="71"/>
      <c r="H26" s="66">
        <v>46086.0</v>
      </c>
      <c r="I26" s="67">
        <v>9.0</v>
      </c>
      <c r="J26" s="72">
        <f t="shared" ref="J26:K26" si="21">L26+N26+P26+R26+T26+V26+X26+Z26</f>
        <v>30.76923077</v>
      </c>
      <c r="K26" s="43">
        <f t="shared" si="21"/>
        <v>50.167</v>
      </c>
      <c r="L26" s="69">
        <f t="shared" si="6"/>
        <v>3.692307692</v>
      </c>
      <c r="M26" s="69">
        <v>0.0</v>
      </c>
      <c r="N26" s="69">
        <f t="shared" si="7"/>
        <v>4.923076923</v>
      </c>
      <c r="O26" s="69">
        <v>5.0</v>
      </c>
      <c r="P26" s="69">
        <f t="shared" si="8"/>
        <v>4.615384615</v>
      </c>
      <c r="Q26" s="69">
        <v>1.75</v>
      </c>
      <c r="R26" s="69">
        <f t="shared" si="9"/>
        <v>2.153846154</v>
      </c>
      <c r="S26" s="69">
        <v>1.25</v>
      </c>
      <c r="T26" s="69">
        <f t="shared" si="10"/>
        <v>2.461538462</v>
      </c>
      <c r="U26" s="69">
        <v>1.25</v>
      </c>
      <c r="V26" s="73">
        <f t="shared" si="11"/>
        <v>8</v>
      </c>
      <c r="W26" s="69">
        <f t="shared" si="12"/>
        <v>26</v>
      </c>
      <c r="X26" s="69">
        <f t="shared" si="13"/>
        <v>3.384615385</v>
      </c>
      <c r="Y26" s="69">
        <v>6.667</v>
      </c>
      <c r="Z26" s="69">
        <f t="shared" si="14"/>
        <v>1.538461538</v>
      </c>
      <c r="AA26" s="69">
        <v>8.25</v>
      </c>
    </row>
    <row r="27" ht="15.75" customHeight="1">
      <c r="A27" s="43"/>
      <c r="B27" s="50" t="s">
        <v>86</v>
      </c>
      <c r="C27" s="51"/>
      <c r="D27" s="51"/>
      <c r="E27" s="52">
        <v>0.5</v>
      </c>
      <c r="F27" s="52">
        <v>0.5</v>
      </c>
      <c r="G27" s="71"/>
      <c r="H27" s="66">
        <v>46087.0</v>
      </c>
      <c r="I27" s="67">
        <v>10.0</v>
      </c>
      <c r="J27" s="72">
        <f t="shared" ref="J27:K27" si="22">L27+N27+P27+R27+T27+V27+X27+Z27</f>
        <v>23.07692308</v>
      </c>
      <c r="K27" s="43">
        <f t="shared" si="22"/>
        <v>42.167</v>
      </c>
      <c r="L27" s="69">
        <f t="shared" si="6"/>
        <v>2.769230769</v>
      </c>
      <c r="M27" s="69">
        <v>0.0</v>
      </c>
      <c r="N27" s="69">
        <f t="shared" si="7"/>
        <v>3.692307692</v>
      </c>
      <c r="O27" s="69">
        <v>3.0</v>
      </c>
      <c r="P27" s="69">
        <f t="shared" si="8"/>
        <v>3.461538462</v>
      </c>
      <c r="Q27" s="69">
        <v>0.75</v>
      </c>
      <c r="R27" s="69">
        <f t="shared" si="9"/>
        <v>1.615384615</v>
      </c>
      <c r="S27" s="69">
        <v>0.5</v>
      </c>
      <c r="T27" s="69">
        <f t="shared" si="10"/>
        <v>1.846153846</v>
      </c>
      <c r="U27" s="69">
        <v>0.5</v>
      </c>
      <c r="V27" s="73">
        <f t="shared" si="11"/>
        <v>6</v>
      </c>
      <c r="W27" s="69">
        <f t="shared" si="12"/>
        <v>26</v>
      </c>
      <c r="X27" s="69">
        <f t="shared" si="13"/>
        <v>2.538461538</v>
      </c>
      <c r="Y27" s="69">
        <v>5.167</v>
      </c>
      <c r="Z27" s="69">
        <f t="shared" si="14"/>
        <v>1.153846154</v>
      </c>
      <c r="AA27" s="69">
        <v>6.25</v>
      </c>
    </row>
    <row r="28" ht="15.75" customHeight="1">
      <c r="A28" s="43"/>
      <c r="B28" s="50" t="s">
        <v>87</v>
      </c>
      <c r="C28" s="51"/>
      <c r="D28" s="51"/>
      <c r="E28" s="52">
        <v>1.5</v>
      </c>
      <c r="F28" s="52">
        <v>1.0</v>
      </c>
      <c r="G28" s="71"/>
      <c r="H28" s="66">
        <v>46088.0</v>
      </c>
      <c r="I28" s="67">
        <v>11.0</v>
      </c>
      <c r="J28" s="72">
        <f t="shared" ref="J28:K28" si="23">L28+N28+P28+R28+T28+V28+X28+Z28</f>
        <v>15.38461538</v>
      </c>
      <c r="K28" s="43">
        <f t="shared" si="23"/>
        <v>35.417</v>
      </c>
      <c r="L28" s="69">
        <f t="shared" si="6"/>
        <v>1.846153846</v>
      </c>
      <c r="M28" s="69">
        <v>0.0</v>
      </c>
      <c r="N28" s="69">
        <f t="shared" si="7"/>
        <v>2.461538462</v>
      </c>
      <c r="O28" s="69">
        <v>1.5</v>
      </c>
      <c r="P28" s="69">
        <f t="shared" si="8"/>
        <v>2.307692308</v>
      </c>
      <c r="Q28" s="69">
        <v>0.0</v>
      </c>
      <c r="R28" s="69">
        <f t="shared" si="9"/>
        <v>1.076923077</v>
      </c>
      <c r="S28" s="69">
        <v>0.0</v>
      </c>
      <c r="T28" s="69">
        <f t="shared" si="10"/>
        <v>1.230769231</v>
      </c>
      <c r="U28" s="69">
        <v>0.0</v>
      </c>
      <c r="V28" s="73">
        <f t="shared" si="11"/>
        <v>4</v>
      </c>
      <c r="W28" s="69">
        <f t="shared" si="12"/>
        <v>26</v>
      </c>
      <c r="X28" s="69">
        <f t="shared" si="13"/>
        <v>1.692307692</v>
      </c>
      <c r="Y28" s="69">
        <v>3.417</v>
      </c>
      <c r="Z28" s="69">
        <f t="shared" si="14"/>
        <v>0.7692307692</v>
      </c>
      <c r="AA28" s="69">
        <v>4.5</v>
      </c>
    </row>
    <row r="29" ht="15.75" customHeight="1">
      <c r="A29" s="43"/>
      <c r="B29" s="50" t="s">
        <v>88</v>
      </c>
      <c r="C29" s="51"/>
      <c r="D29" s="51"/>
      <c r="E29" s="52">
        <v>0.75</v>
      </c>
      <c r="F29" s="52">
        <v>0.5</v>
      </c>
      <c r="G29" s="43"/>
      <c r="H29" s="66">
        <v>46089.0</v>
      </c>
      <c r="I29" s="67">
        <v>12.0</v>
      </c>
      <c r="J29" s="72">
        <f t="shared" ref="J29:K29" si="24">L29+N29+P29+R29+T29+V29+X29+Z29</f>
        <v>7.692307692</v>
      </c>
      <c r="K29" s="43">
        <f t="shared" si="24"/>
        <v>30.417</v>
      </c>
      <c r="L29" s="69">
        <f t="shared" si="6"/>
        <v>0.9230769231</v>
      </c>
      <c r="M29" s="69">
        <v>0.0</v>
      </c>
      <c r="N29" s="69">
        <f t="shared" si="7"/>
        <v>1.230769231</v>
      </c>
      <c r="O29" s="69">
        <v>0.5</v>
      </c>
      <c r="P29" s="69">
        <f t="shared" si="8"/>
        <v>1.153846154</v>
      </c>
      <c r="Q29" s="69">
        <v>0.0</v>
      </c>
      <c r="R29" s="69">
        <f t="shared" si="9"/>
        <v>0.5384615385</v>
      </c>
      <c r="S29" s="69">
        <v>0.0</v>
      </c>
      <c r="T29" s="69">
        <f t="shared" si="10"/>
        <v>0.6153846154</v>
      </c>
      <c r="U29" s="69">
        <v>0.0</v>
      </c>
      <c r="V29" s="73">
        <f t="shared" si="11"/>
        <v>2</v>
      </c>
      <c r="W29" s="69">
        <f t="shared" si="12"/>
        <v>26</v>
      </c>
      <c r="X29" s="69">
        <f t="shared" si="13"/>
        <v>0.8461538462</v>
      </c>
      <c r="Y29" s="69">
        <v>1.417</v>
      </c>
      <c r="Z29" s="69">
        <f t="shared" si="14"/>
        <v>0.3846153846</v>
      </c>
      <c r="AA29" s="69">
        <v>2.5</v>
      </c>
    </row>
    <row r="30" ht="15.75" customHeight="1">
      <c r="A30" s="43"/>
      <c r="B30" s="50" t="s">
        <v>89</v>
      </c>
      <c r="C30" s="51" t="s">
        <v>68</v>
      </c>
      <c r="D30" s="51" t="s">
        <v>57</v>
      </c>
      <c r="E30" s="52" t="s">
        <v>80</v>
      </c>
      <c r="F30" s="52"/>
      <c r="G30" s="43"/>
      <c r="H30" s="66">
        <v>46090.0</v>
      </c>
      <c r="I30" s="67">
        <v>13.0</v>
      </c>
      <c r="J30" s="72">
        <f t="shared" ref="J30:K30" si="25">L30+N30+P30+R30+T30+V30+X30+Z30</f>
        <v>0</v>
      </c>
      <c r="K30" s="43">
        <f t="shared" si="25"/>
        <v>26</v>
      </c>
      <c r="L30" s="69">
        <v>0.0</v>
      </c>
      <c r="M30" s="69">
        <v>0.0</v>
      </c>
      <c r="N30" s="69">
        <v>0.0</v>
      </c>
      <c r="O30" s="69">
        <v>0.0</v>
      </c>
      <c r="P30" s="69">
        <v>0.0</v>
      </c>
      <c r="Q30" s="69">
        <v>0.0</v>
      </c>
      <c r="R30" s="69">
        <v>0.0</v>
      </c>
      <c r="S30" s="69">
        <v>0.0</v>
      </c>
      <c r="T30" s="69">
        <v>0.0</v>
      </c>
      <c r="U30" s="69">
        <v>0.0</v>
      </c>
      <c r="V30" s="73">
        <f t="shared" si="11"/>
        <v>0</v>
      </c>
      <c r="W30" s="69">
        <f t="shared" si="12"/>
        <v>26</v>
      </c>
      <c r="X30" s="69">
        <v>0.0</v>
      </c>
      <c r="Y30" s="69">
        <v>0.0</v>
      </c>
      <c r="Z30" s="69">
        <v>0.0</v>
      </c>
      <c r="AA30" s="69">
        <v>0.0</v>
      </c>
    </row>
    <row r="31" ht="15.75" customHeight="1">
      <c r="A31" s="43"/>
      <c r="B31" s="50" t="s">
        <v>90</v>
      </c>
      <c r="C31" s="51" t="s">
        <v>53</v>
      </c>
      <c r="D31" s="51" t="s">
        <v>56</v>
      </c>
      <c r="E31" s="52">
        <v>1.0</v>
      </c>
      <c r="F31" s="52">
        <v>0.75</v>
      </c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</row>
    <row r="32" ht="15.75" customHeight="1">
      <c r="A32" s="43"/>
      <c r="B32" s="50" t="s">
        <v>91</v>
      </c>
      <c r="C32" s="51"/>
      <c r="D32" s="51"/>
      <c r="E32" s="52"/>
      <c r="F32" s="52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</row>
    <row r="33" ht="15.75" customHeight="1">
      <c r="A33" s="43"/>
      <c r="B33" s="50" t="s">
        <v>92</v>
      </c>
      <c r="C33" s="51" t="s">
        <v>53</v>
      </c>
      <c r="D33" s="51" t="s">
        <v>56</v>
      </c>
      <c r="E33" s="52">
        <v>0.75</v>
      </c>
      <c r="F33" s="52">
        <v>0.5</v>
      </c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</row>
    <row r="34" ht="15.75" customHeight="1">
      <c r="A34" s="43"/>
      <c r="B34" s="50" t="s">
        <v>93</v>
      </c>
      <c r="C34" s="51"/>
      <c r="D34" s="51"/>
      <c r="E34" s="76">
        <v>0.5</v>
      </c>
      <c r="F34" s="76">
        <v>0.5</v>
      </c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</row>
    <row r="35" ht="15.75" customHeight="1">
      <c r="A35" s="43"/>
      <c r="B35" s="55" t="s">
        <v>38</v>
      </c>
      <c r="C35" s="55"/>
      <c r="D35" s="55"/>
      <c r="E35" s="57">
        <v>21.0</v>
      </c>
      <c r="F35" s="57">
        <v>16.0</v>
      </c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</row>
    <row r="38" ht="15.75" customHeight="1">
      <c r="A38" s="43"/>
      <c r="B38" s="44" t="s">
        <v>94</v>
      </c>
      <c r="C38" s="45"/>
      <c r="D38" s="45"/>
      <c r="E38" s="45"/>
      <c r="F38" s="46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</row>
    <row r="39" ht="15.75" customHeight="1">
      <c r="A39" s="43"/>
      <c r="B39" s="47" t="s">
        <v>45</v>
      </c>
      <c r="C39" s="47" t="s">
        <v>46</v>
      </c>
      <c r="D39" s="47" t="s">
        <v>47</v>
      </c>
      <c r="E39" s="47" t="s">
        <v>48</v>
      </c>
      <c r="F39" s="47" t="s">
        <v>49</v>
      </c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</row>
    <row r="40" ht="15.75" customHeight="1">
      <c r="A40" s="43"/>
      <c r="B40" s="50" t="s">
        <v>95</v>
      </c>
      <c r="C40" s="51"/>
      <c r="D40" s="51"/>
      <c r="E40" s="52">
        <v>0.25</v>
      </c>
      <c r="F40" s="52">
        <v>1.0</v>
      </c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</row>
    <row r="41" ht="15.75" customHeight="1">
      <c r="A41" s="43"/>
      <c r="B41" s="50" t="s">
        <v>96</v>
      </c>
      <c r="C41" s="51" t="s">
        <v>57</v>
      </c>
      <c r="D41" s="51" t="s">
        <v>68</v>
      </c>
      <c r="E41" s="52">
        <v>1.25</v>
      </c>
      <c r="F41" s="52">
        <v>2.0</v>
      </c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</row>
    <row r="42" ht="15.75" customHeight="1">
      <c r="A42" s="43"/>
      <c r="B42" s="50" t="s">
        <v>97</v>
      </c>
      <c r="C42" s="51" t="s">
        <v>57</v>
      </c>
      <c r="D42" s="51" t="s">
        <v>68</v>
      </c>
      <c r="E42" s="52">
        <v>1.0</v>
      </c>
      <c r="F42" s="52">
        <v>2.0</v>
      </c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</row>
    <row r="43" ht="15.75" customHeight="1">
      <c r="A43" s="43"/>
      <c r="B43" s="50" t="s">
        <v>98</v>
      </c>
      <c r="C43" s="51" t="s">
        <v>57</v>
      </c>
      <c r="D43" s="51" t="s">
        <v>68</v>
      </c>
      <c r="E43" s="52">
        <v>0.5</v>
      </c>
      <c r="F43" s="52">
        <v>2.0</v>
      </c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</row>
    <row r="44" ht="15.75" customHeight="1">
      <c r="A44" s="43"/>
      <c r="B44" s="50" t="s">
        <v>99</v>
      </c>
      <c r="C44" s="51" t="s">
        <v>57</v>
      </c>
      <c r="D44" s="51" t="s">
        <v>68</v>
      </c>
      <c r="E44" s="52">
        <v>0.25</v>
      </c>
      <c r="F44" s="52">
        <v>1.0</v>
      </c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</row>
    <row r="45" ht="15.75" customHeight="1">
      <c r="A45" s="43"/>
      <c r="B45" s="50" t="s">
        <v>100</v>
      </c>
      <c r="C45" s="51" t="s">
        <v>80</v>
      </c>
      <c r="D45" s="51" t="s">
        <v>80</v>
      </c>
      <c r="E45" s="52" t="s">
        <v>80</v>
      </c>
      <c r="F45" s="52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</row>
    <row r="46" ht="15.75" customHeight="1">
      <c r="A46" s="43"/>
      <c r="B46" s="50" t="s">
        <v>101</v>
      </c>
      <c r="C46" s="51"/>
      <c r="D46" s="51"/>
      <c r="E46" s="52"/>
      <c r="F46" s="52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</row>
    <row r="47" ht="15.75" customHeight="1">
      <c r="A47" s="43"/>
      <c r="B47" s="50" t="s">
        <v>102</v>
      </c>
      <c r="C47" s="51" t="s">
        <v>68</v>
      </c>
      <c r="D47" s="51" t="s">
        <v>57</v>
      </c>
      <c r="E47" s="52">
        <v>2.0</v>
      </c>
      <c r="F47" s="52">
        <v>3.0</v>
      </c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</row>
    <row r="48" ht="15.75" customHeight="1">
      <c r="A48" s="43"/>
      <c r="B48" s="50" t="s">
        <v>103</v>
      </c>
      <c r="C48" s="51" t="s">
        <v>68</v>
      </c>
      <c r="D48" s="51" t="s">
        <v>57</v>
      </c>
      <c r="E48" s="52">
        <v>0.75</v>
      </c>
      <c r="F48" s="52">
        <v>2.0</v>
      </c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</row>
    <row r="49" ht="15.75" customHeight="1">
      <c r="A49" s="43"/>
      <c r="B49" s="55" t="s">
        <v>38</v>
      </c>
      <c r="C49" s="55"/>
      <c r="D49" s="55"/>
      <c r="E49" s="57">
        <v>7.0</v>
      </c>
      <c r="F49" s="57">
        <v>15.0</v>
      </c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</row>
    <row r="52" ht="18.0" customHeight="1">
      <c r="A52" s="43"/>
      <c r="B52" s="44" t="s">
        <v>104</v>
      </c>
      <c r="C52" s="45"/>
      <c r="D52" s="45"/>
      <c r="E52" s="45"/>
      <c r="F52" s="46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</row>
    <row r="53" ht="15.75" customHeight="1">
      <c r="A53" s="43"/>
      <c r="B53" s="47" t="s">
        <v>45</v>
      </c>
      <c r="C53" s="47" t="s">
        <v>46</v>
      </c>
      <c r="D53" s="47" t="s">
        <v>47</v>
      </c>
      <c r="E53" s="47" t="s">
        <v>48</v>
      </c>
      <c r="F53" s="47" t="s">
        <v>49</v>
      </c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</row>
    <row r="54" ht="15.75" customHeight="1">
      <c r="A54" s="43"/>
      <c r="B54" s="50" t="s">
        <v>105</v>
      </c>
      <c r="C54" s="51"/>
      <c r="D54" s="51"/>
      <c r="E54" s="52">
        <v>1.0</v>
      </c>
      <c r="F54" s="52">
        <v>2.0</v>
      </c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</row>
    <row r="55" ht="15.75" customHeight="1">
      <c r="A55" s="43"/>
      <c r="B55" s="50" t="s">
        <v>106</v>
      </c>
      <c r="C55" s="51" t="s">
        <v>68</v>
      </c>
      <c r="D55" s="51" t="s">
        <v>57</v>
      </c>
      <c r="E55" s="52">
        <v>0.5</v>
      </c>
      <c r="F55" s="52">
        <v>1.5</v>
      </c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</row>
    <row r="56" ht="15.75" customHeight="1">
      <c r="A56" s="43"/>
      <c r="B56" s="50" t="s">
        <v>107</v>
      </c>
      <c r="C56" s="51"/>
      <c r="D56" s="51"/>
      <c r="E56" s="52">
        <v>0.25</v>
      </c>
      <c r="F56" s="52">
        <v>1.0</v>
      </c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</row>
    <row r="57" ht="15.75" customHeight="1">
      <c r="A57" s="43"/>
      <c r="B57" s="50" t="s">
        <v>108</v>
      </c>
      <c r="C57" s="51"/>
      <c r="D57" s="51"/>
      <c r="E57" s="52">
        <v>0.25</v>
      </c>
      <c r="F57" s="52">
        <v>1.0</v>
      </c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</row>
    <row r="58" ht="18.0" customHeight="1">
      <c r="A58" s="54"/>
      <c r="B58" s="50" t="s">
        <v>109</v>
      </c>
      <c r="C58" s="51" t="s">
        <v>56</v>
      </c>
      <c r="D58" s="51" t="s">
        <v>53</v>
      </c>
      <c r="E58" s="52">
        <v>0.25</v>
      </c>
      <c r="F58" s="52">
        <v>0.5</v>
      </c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</row>
    <row r="59" ht="15.75" customHeight="1">
      <c r="A59" s="43"/>
      <c r="B59" s="50" t="s">
        <v>110</v>
      </c>
      <c r="C59" s="51"/>
      <c r="D59" s="51"/>
      <c r="E59" s="52">
        <v>0.25</v>
      </c>
      <c r="F59" s="52">
        <v>0.5</v>
      </c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 ht="15.75" customHeight="1">
      <c r="A60" s="43"/>
      <c r="B60" s="50" t="s">
        <v>111</v>
      </c>
      <c r="C60" s="51"/>
      <c r="D60" s="51"/>
      <c r="E60" s="52">
        <v>0.25</v>
      </c>
      <c r="F60" s="52">
        <v>0.25</v>
      </c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</row>
    <row r="61" ht="15.75" customHeight="1">
      <c r="A61" s="43"/>
      <c r="B61" s="50" t="s">
        <v>112</v>
      </c>
      <c r="C61" s="51"/>
      <c r="D61" s="51"/>
      <c r="E61" s="52">
        <v>0.0</v>
      </c>
      <c r="F61" s="52">
        <v>0.25</v>
      </c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</row>
    <row r="62" ht="15.75" customHeight="1">
      <c r="A62" s="43"/>
      <c r="B62" s="55" t="s">
        <v>38</v>
      </c>
      <c r="C62" s="55"/>
      <c r="D62" s="55"/>
      <c r="E62" s="57">
        <v>2.75</v>
      </c>
      <c r="F62" s="57">
        <v>7.0</v>
      </c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 ht="18.0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</row>
    <row r="65" ht="15.75" customHeight="1">
      <c r="A65" s="43"/>
      <c r="B65" s="44" t="s">
        <v>113</v>
      </c>
      <c r="C65" s="45"/>
      <c r="D65" s="45"/>
      <c r="E65" s="45"/>
      <c r="F65" s="46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</row>
    <row r="66" ht="15.75" customHeight="1">
      <c r="A66" s="43"/>
      <c r="B66" s="47" t="s">
        <v>45</v>
      </c>
      <c r="C66" s="47" t="s">
        <v>46</v>
      </c>
      <c r="D66" s="47" t="s">
        <v>47</v>
      </c>
      <c r="E66" s="47" t="s">
        <v>48</v>
      </c>
      <c r="F66" s="47" t="s">
        <v>49</v>
      </c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</row>
    <row r="67" ht="15.75" customHeight="1">
      <c r="A67" s="43"/>
      <c r="B67" s="50" t="s">
        <v>114</v>
      </c>
      <c r="C67" s="51"/>
      <c r="D67" s="51"/>
      <c r="E67" s="52"/>
      <c r="F67" s="52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</row>
    <row r="68" ht="15.75" customHeight="1">
      <c r="A68" s="43"/>
      <c r="B68" s="50" t="s">
        <v>115</v>
      </c>
      <c r="C68" s="51" t="s">
        <v>69</v>
      </c>
      <c r="D68" s="51" t="s">
        <v>68</v>
      </c>
      <c r="E68" s="52">
        <v>0.25</v>
      </c>
      <c r="F68" s="52">
        <v>1.0</v>
      </c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</row>
    <row r="69" ht="15.75" customHeight="1">
      <c r="A69" s="43"/>
      <c r="B69" s="50" t="s">
        <v>116</v>
      </c>
      <c r="C69" s="51"/>
      <c r="D69" s="51"/>
      <c r="E69" s="52"/>
      <c r="F69" s="52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</row>
    <row r="70" ht="15.75" customHeight="1">
      <c r="A70" s="54"/>
      <c r="B70" s="50" t="s">
        <v>117</v>
      </c>
      <c r="C70" s="51"/>
      <c r="D70" s="51"/>
      <c r="E70" s="52">
        <v>0.25</v>
      </c>
      <c r="F70" s="52">
        <v>0.5</v>
      </c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</row>
    <row r="71" ht="15.75" customHeight="1">
      <c r="A71" s="43"/>
      <c r="B71" s="50" t="s">
        <v>118</v>
      </c>
      <c r="C71" s="51"/>
      <c r="D71" s="51"/>
      <c r="E71" s="52">
        <v>0.25</v>
      </c>
      <c r="F71" s="52">
        <v>0.5</v>
      </c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</row>
    <row r="72" ht="15.75" customHeight="1">
      <c r="A72" s="43"/>
      <c r="B72" s="50" t="s">
        <v>119</v>
      </c>
      <c r="C72" s="51"/>
      <c r="D72" s="51"/>
      <c r="E72" s="52">
        <v>0.25</v>
      </c>
      <c r="F72" s="52">
        <v>0.5</v>
      </c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</row>
    <row r="73" ht="15.75" customHeight="1">
      <c r="A73" s="43"/>
      <c r="B73" s="50" t="s">
        <v>120</v>
      </c>
      <c r="C73" s="51"/>
      <c r="D73" s="51"/>
      <c r="E73" s="52">
        <v>0.25</v>
      </c>
      <c r="F73" s="52">
        <v>0.5</v>
      </c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</row>
    <row r="74" ht="15.75" customHeight="1">
      <c r="A74" s="43"/>
      <c r="B74" s="50" t="s">
        <v>121</v>
      </c>
      <c r="C74" s="51"/>
      <c r="D74" s="51"/>
      <c r="E74" s="52">
        <v>0.5</v>
      </c>
      <c r="F74" s="52">
        <v>2.5</v>
      </c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</row>
    <row r="75" ht="15.75" customHeight="1">
      <c r="A75" s="43"/>
      <c r="B75" s="50" t="s">
        <v>122</v>
      </c>
      <c r="C75" s="51"/>
      <c r="D75" s="51"/>
      <c r="E75" s="52">
        <v>0.0</v>
      </c>
      <c r="F75" s="52">
        <v>1.0</v>
      </c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</row>
    <row r="76" ht="15.75" customHeight="1">
      <c r="A76" s="43"/>
      <c r="B76" s="50" t="s">
        <v>91</v>
      </c>
      <c r="C76" s="51"/>
      <c r="D76" s="51"/>
      <c r="E76" s="52"/>
      <c r="F76" s="52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</row>
    <row r="77" ht="15.75" customHeight="1">
      <c r="A77" s="43"/>
      <c r="B77" s="50" t="s">
        <v>123</v>
      </c>
      <c r="C77" s="51" t="s">
        <v>56</v>
      </c>
      <c r="D77" s="51" t="s">
        <v>53</v>
      </c>
      <c r="E77" s="52">
        <v>0.25</v>
      </c>
      <c r="F77" s="52">
        <v>1.0</v>
      </c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</row>
    <row r="78" ht="15.75" customHeight="1">
      <c r="A78" s="43"/>
      <c r="B78" s="50" t="s">
        <v>124</v>
      </c>
      <c r="C78" s="51" t="s">
        <v>80</v>
      </c>
      <c r="D78" s="51" t="s">
        <v>80</v>
      </c>
      <c r="E78" s="52">
        <v>0.0</v>
      </c>
      <c r="F78" s="52">
        <v>0.5</v>
      </c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</row>
    <row r="79" ht="15.75" customHeight="1">
      <c r="A79" s="43"/>
      <c r="B79" s="55" t="s">
        <v>38</v>
      </c>
      <c r="C79" s="55"/>
      <c r="D79" s="55"/>
      <c r="E79" s="57">
        <v>2.0</v>
      </c>
      <c r="F79" s="57">
        <v>8.0</v>
      </c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</row>
    <row r="82" ht="15.75" customHeight="1">
      <c r="A82" s="43"/>
      <c r="B82" s="44" t="s">
        <v>125</v>
      </c>
      <c r="C82" s="45"/>
      <c r="D82" s="45"/>
      <c r="E82" s="45"/>
      <c r="F82" s="46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</row>
    <row r="83" ht="15.75" customHeight="1">
      <c r="A83" s="43"/>
      <c r="B83" s="47" t="s">
        <v>45</v>
      </c>
      <c r="C83" s="47" t="s">
        <v>46</v>
      </c>
      <c r="D83" s="47" t="s">
        <v>47</v>
      </c>
      <c r="E83" s="47" t="s">
        <v>48</v>
      </c>
      <c r="F83" s="47" t="s">
        <v>49</v>
      </c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</row>
    <row r="84" ht="15.75" customHeight="1">
      <c r="A84" s="43"/>
      <c r="B84" s="50" t="s">
        <v>126</v>
      </c>
      <c r="C84" s="51" t="s">
        <v>80</v>
      </c>
      <c r="D84" s="51" t="s">
        <v>80</v>
      </c>
      <c r="E84" s="52" t="s">
        <v>80</v>
      </c>
      <c r="F84" s="52">
        <v>3.0</v>
      </c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</row>
    <row r="85" ht="15.75" customHeight="1">
      <c r="A85" s="43"/>
      <c r="B85" s="50" t="s">
        <v>127</v>
      </c>
      <c r="C85" s="51" t="s">
        <v>80</v>
      </c>
      <c r="D85" s="51" t="s">
        <v>80</v>
      </c>
      <c r="E85" s="52" t="s">
        <v>80</v>
      </c>
      <c r="F85" s="52">
        <v>4.0</v>
      </c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</row>
    <row r="86" ht="15.75" customHeight="1">
      <c r="A86" s="43"/>
      <c r="B86" s="50" t="s">
        <v>128</v>
      </c>
      <c r="C86" s="51" t="s">
        <v>80</v>
      </c>
      <c r="D86" s="51" t="s">
        <v>80</v>
      </c>
      <c r="E86" s="52" t="s">
        <v>80</v>
      </c>
      <c r="F86" s="52">
        <v>4.0</v>
      </c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</row>
    <row r="87" ht="15.75" customHeight="1">
      <c r="A87" s="43"/>
      <c r="B87" s="50" t="s">
        <v>129</v>
      </c>
      <c r="C87" s="51" t="s">
        <v>80</v>
      </c>
      <c r="D87" s="51" t="s">
        <v>80</v>
      </c>
      <c r="E87" s="52" t="s">
        <v>80</v>
      </c>
      <c r="F87" s="52">
        <v>4.0</v>
      </c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</row>
    <row r="88" ht="14.25" customHeight="1">
      <c r="A88" s="43"/>
      <c r="B88" s="50" t="s">
        <v>130</v>
      </c>
      <c r="C88" s="51" t="s">
        <v>80</v>
      </c>
      <c r="D88" s="51" t="s">
        <v>80</v>
      </c>
      <c r="E88" s="52" t="s">
        <v>80</v>
      </c>
      <c r="F88" s="52">
        <v>11.0</v>
      </c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</row>
    <row r="89" ht="15.75" customHeight="1">
      <c r="A89" s="43"/>
      <c r="B89" s="55" t="s">
        <v>38</v>
      </c>
      <c r="C89" s="55"/>
      <c r="D89" s="55"/>
      <c r="E89" s="57">
        <f>SUM(E84:E88)</f>
        <v>0</v>
      </c>
      <c r="F89" s="57">
        <f>15+11</f>
        <v>26</v>
      </c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</row>
    <row r="92" ht="15.75" customHeight="1">
      <c r="A92" s="43"/>
      <c r="B92" s="44" t="s">
        <v>131</v>
      </c>
      <c r="C92" s="45"/>
      <c r="D92" s="45"/>
      <c r="E92" s="45"/>
      <c r="F92" s="46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</row>
    <row r="93" ht="15.75" customHeight="1">
      <c r="A93" s="43"/>
      <c r="B93" s="77" t="s">
        <v>45</v>
      </c>
      <c r="C93" s="47" t="s">
        <v>46</v>
      </c>
      <c r="D93" s="47" t="s">
        <v>47</v>
      </c>
      <c r="E93" s="47" t="s">
        <v>48</v>
      </c>
      <c r="F93" s="47" t="s">
        <v>49</v>
      </c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</row>
    <row r="94" ht="15.75" customHeight="1">
      <c r="A94" s="43"/>
      <c r="B94" s="50" t="s">
        <v>132</v>
      </c>
      <c r="C94" s="51" t="s">
        <v>56</v>
      </c>
      <c r="D94" s="51" t="s">
        <v>57</v>
      </c>
      <c r="E94" s="52">
        <v>0.75</v>
      </c>
      <c r="F94" s="52">
        <v>1.0</v>
      </c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</row>
    <row r="95" ht="15.75" customHeight="1">
      <c r="A95" s="43"/>
      <c r="B95" s="50" t="s">
        <v>133</v>
      </c>
      <c r="C95" s="51" t="s">
        <v>57</v>
      </c>
      <c r="D95" s="51" t="s">
        <v>56</v>
      </c>
      <c r="E95" s="52">
        <v>1.5</v>
      </c>
      <c r="F95" s="52">
        <v>2.0</v>
      </c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</row>
    <row r="96" ht="15.75" customHeight="1">
      <c r="A96" s="43"/>
      <c r="B96" s="50" t="s">
        <v>134</v>
      </c>
      <c r="C96" s="51" t="s">
        <v>57</v>
      </c>
      <c r="D96" s="51" t="s">
        <v>56</v>
      </c>
      <c r="E96" s="52">
        <v>1.25</v>
      </c>
      <c r="F96" s="52">
        <v>1.5</v>
      </c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</row>
    <row r="97" ht="15.75" customHeight="1">
      <c r="A97" s="43"/>
      <c r="B97" s="50" t="s">
        <v>135</v>
      </c>
      <c r="C97" s="51"/>
      <c r="D97" s="51"/>
      <c r="E97" s="52">
        <v>0.75</v>
      </c>
      <c r="F97" s="52">
        <v>1.0</v>
      </c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</row>
    <row r="98" ht="15.75" customHeight="1">
      <c r="A98" s="43"/>
      <c r="B98" s="50" t="s">
        <v>136</v>
      </c>
      <c r="C98" s="51" t="s">
        <v>69</v>
      </c>
      <c r="D98" s="51" t="s">
        <v>137</v>
      </c>
      <c r="E98" s="52">
        <v>2.5</v>
      </c>
      <c r="F98" s="52">
        <v>1.5</v>
      </c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</row>
    <row r="99" ht="15.75" customHeight="1">
      <c r="A99" s="43"/>
      <c r="B99" s="50" t="s">
        <v>138</v>
      </c>
      <c r="C99" s="51" t="s">
        <v>57</v>
      </c>
      <c r="D99" s="51" t="s">
        <v>56</v>
      </c>
      <c r="E99" s="52">
        <v>1.0</v>
      </c>
      <c r="F99" s="52">
        <v>1.5</v>
      </c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</row>
    <row r="100" ht="15.75" customHeight="1">
      <c r="A100" s="43"/>
      <c r="B100" s="50" t="s">
        <v>139</v>
      </c>
      <c r="C100" s="51" t="s">
        <v>80</v>
      </c>
      <c r="D100" s="51" t="s">
        <v>80</v>
      </c>
      <c r="E100" s="52" t="s">
        <v>80</v>
      </c>
      <c r="F100" s="52">
        <v>1.0</v>
      </c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</row>
    <row r="101" ht="15.75" customHeight="1">
      <c r="A101" s="43"/>
      <c r="B101" s="50" t="s">
        <v>140</v>
      </c>
      <c r="C101" s="51" t="s">
        <v>80</v>
      </c>
      <c r="D101" s="51" t="s">
        <v>80</v>
      </c>
      <c r="E101" s="52" t="s">
        <v>80</v>
      </c>
      <c r="F101" s="52">
        <v>0.75</v>
      </c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</row>
    <row r="102" ht="15.75" customHeight="1">
      <c r="A102" s="43"/>
      <c r="B102" s="50" t="s">
        <v>141</v>
      </c>
      <c r="C102" s="51" t="s">
        <v>80</v>
      </c>
      <c r="D102" s="51" t="s">
        <v>80</v>
      </c>
      <c r="E102" s="52" t="s">
        <v>80</v>
      </c>
      <c r="F102" s="52">
        <v>0.75</v>
      </c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</row>
    <row r="103" ht="15.75" customHeight="1">
      <c r="A103" s="43"/>
      <c r="B103" s="55" t="s">
        <v>38</v>
      </c>
      <c r="C103" s="55"/>
      <c r="D103" s="55"/>
      <c r="E103" s="57">
        <v>11.167</v>
      </c>
      <c r="F103" s="57">
        <v>11.0</v>
      </c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</row>
    <row r="106" ht="15.75" customHeight="1">
      <c r="A106" s="43"/>
      <c r="B106" s="44" t="s">
        <v>70</v>
      </c>
      <c r="C106" s="45"/>
      <c r="D106" s="45"/>
      <c r="E106" s="45"/>
      <c r="F106" s="46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</row>
    <row r="107" ht="15.75" customHeight="1">
      <c r="A107" s="43"/>
      <c r="B107" s="77" t="s">
        <v>45</v>
      </c>
      <c r="C107" s="47" t="s">
        <v>46</v>
      </c>
      <c r="D107" s="47" t="s">
        <v>47</v>
      </c>
      <c r="E107" s="47" t="s">
        <v>48</v>
      </c>
      <c r="F107" s="47" t="s">
        <v>49</v>
      </c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</row>
    <row r="108" ht="15.75" customHeight="1">
      <c r="A108" s="43"/>
      <c r="B108" s="50" t="s">
        <v>142</v>
      </c>
      <c r="C108" s="51" t="s">
        <v>137</v>
      </c>
      <c r="D108" s="51" t="s">
        <v>69</v>
      </c>
      <c r="E108" s="52">
        <v>0.75</v>
      </c>
      <c r="F108" s="52">
        <v>0.25</v>
      </c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</row>
    <row r="109" ht="15.75" customHeight="1">
      <c r="A109" s="43"/>
      <c r="B109" s="50" t="s">
        <v>143</v>
      </c>
      <c r="C109" s="51"/>
      <c r="D109" s="51"/>
      <c r="E109" s="52">
        <v>1.0</v>
      </c>
      <c r="F109" s="52">
        <v>0.25</v>
      </c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</row>
    <row r="110" ht="15.75" customHeight="1">
      <c r="A110" s="43"/>
      <c r="B110" s="50" t="s">
        <v>144</v>
      </c>
      <c r="C110" s="51" t="s">
        <v>137</v>
      </c>
      <c r="D110" s="51" t="s">
        <v>69</v>
      </c>
      <c r="E110" s="52">
        <v>0.5</v>
      </c>
      <c r="F110" s="52">
        <v>0.1</v>
      </c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</row>
    <row r="111" ht="15.75" customHeight="1">
      <c r="A111" s="43"/>
      <c r="B111" s="50" t="s">
        <v>145</v>
      </c>
      <c r="C111" s="51"/>
      <c r="D111" s="51"/>
      <c r="E111" s="52">
        <v>0.75</v>
      </c>
      <c r="F111" s="52">
        <v>0.25</v>
      </c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</row>
    <row r="112" ht="15.75" customHeight="1">
      <c r="A112" s="43"/>
      <c r="B112" s="50" t="s">
        <v>146</v>
      </c>
      <c r="C112" s="51"/>
      <c r="D112" s="51"/>
      <c r="E112" s="52">
        <v>1.0</v>
      </c>
      <c r="F112" s="52">
        <v>0.25</v>
      </c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</row>
    <row r="113" ht="15.75" customHeight="1">
      <c r="A113" s="43"/>
      <c r="B113" s="50" t="s">
        <v>147</v>
      </c>
      <c r="C113" s="51" t="s">
        <v>80</v>
      </c>
      <c r="D113" s="51" t="s">
        <v>80</v>
      </c>
      <c r="E113" s="52">
        <v>0.25</v>
      </c>
      <c r="F113" s="52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</row>
    <row r="114" ht="15.75" customHeight="1">
      <c r="A114" s="43"/>
      <c r="B114" s="50" t="s">
        <v>148</v>
      </c>
      <c r="C114" s="51"/>
      <c r="D114" s="51"/>
      <c r="E114" s="52">
        <v>0.083</v>
      </c>
      <c r="F114" s="52">
        <v>0.05</v>
      </c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</row>
    <row r="115" ht="15.75" customHeight="1">
      <c r="A115" s="43"/>
      <c r="B115" s="50" t="s">
        <v>149</v>
      </c>
      <c r="C115" s="51"/>
      <c r="D115" s="51"/>
      <c r="E115" s="52">
        <v>2.0</v>
      </c>
      <c r="F115" s="52">
        <v>0.5</v>
      </c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</row>
    <row r="116" ht="15.75" customHeight="1">
      <c r="A116" s="43"/>
      <c r="B116" s="50" t="s">
        <v>150</v>
      </c>
      <c r="C116" s="51"/>
      <c r="D116" s="51"/>
      <c r="E116" s="52">
        <v>4.5</v>
      </c>
      <c r="F116" s="52">
        <v>0.75</v>
      </c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</row>
    <row r="117" ht="15.75" customHeight="1">
      <c r="A117" s="43"/>
      <c r="B117" s="50" t="s">
        <v>151</v>
      </c>
      <c r="C117" s="51"/>
      <c r="D117" s="51"/>
      <c r="E117" s="52">
        <v>1.5</v>
      </c>
      <c r="F117" s="52">
        <v>0.25</v>
      </c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</row>
    <row r="118" ht="15.75" customHeight="1">
      <c r="A118" s="43"/>
      <c r="B118" s="50" t="s">
        <v>152</v>
      </c>
      <c r="C118" s="51"/>
      <c r="D118" s="51"/>
      <c r="E118" s="52">
        <v>0.333</v>
      </c>
      <c r="F118" s="52">
        <v>0.1</v>
      </c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</row>
    <row r="119" ht="15.75" customHeight="1">
      <c r="A119" s="43"/>
      <c r="B119" s="50" t="s">
        <v>153</v>
      </c>
      <c r="C119" s="51"/>
      <c r="D119" s="51"/>
      <c r="E119" s="52">
        <v>0.5</v>
      </c>
      <c r="F119" s="52">
        <v>0.2</v>
      </c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</row>
    <row r="120" ht="15.75" customHeight="1">
      <c r="A120" s="43"/>
      <c r="B120" s="50" t="s">
        <v>154</v>
      </c>
      <c r="C120" s="51" t="s">
        <v>80</v>
      </c>
      <c r="D120" s="51" t="s">
        <v>80</v>
      </c>
      <c r="E120" s="52">
        <v>0.25</v>
      </c>
      <c r="F120" s="52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</row>
    <row r="121" ht="15.75" customHeight="1">
      <c r="A121" s="43"/>
      <c r="B121" s="50" t="s">
        <v>155</v>
      </c>
      <c r="C121" s="51" t="s">
        <v>80</v>
      </c>
      <c r="D121" s="51" t="s">
        <v>80</v>
      </c>
      <c r="E121" s="52">
        <v>0.25</v>
      </c>
      <c r="F121" s="52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</row>
    <row r="122" ht="15.75" customHeight="1">
      <c r="A122" s="43"/>
      <c r="B122" s="50" t="s">
        <v>156</v>
      </c>
      <c r="C122" s="51" t="s">
        <v>80</v>
      </c>
      <c r="D122" s="51" t="s">
        <v>80</v>
      </c>
      <c r="E122" s="52">
        <v>1.5</v>
      </c>
      <c r="F122" s="52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</row>
    <row r="123" ht="15.75" customHeight="1">
      <c r="A123" s="43"/>
      <c r="B123" s="50" t="s">
        <v>157</v>
      </c>
      <c r="C123" s="51" t="s">
        <v>80</v>
      </c>
      <c r="D123" s="51" t="s">
        <v>80</v>
      </c>
      <c r="E123" s="52">
        <v>1.25</v>
      </c>
      <c r="F123" s="52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</row>
    <row r="124" ht="15.75" customHeight="1">
      <c r="A124" s="43"/>
      <c r="B124" s="50" t="s">
        <v>158</v>
      </c>
      <c r="C124" s="51"/>
      <c r="D124" s="51"/>
      <c r="E124" s="52">
        <v>1.25</v>
      </c>
      <c r="F124" s="52">
        <v>0.2</v>
      </c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</row>
    <row r="125" ht="15.75" customHeight="1">
      <c r="A125" s="43"/>
      <c r="B125" s="50" t="s">
        <v>159</v>
      </c>
      <c r="C125" s="51"/>
      <c r="D125" s="51"/>
      <c r="E125" s="52">
        <v>0.5</v>
      </c>
      <c r="F125" s="52">
        <v>0.15</v>
      </c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</row>
    <row r="126" ht="15.75" customHeight="1">
      <c r="A126" s="43"/>
      <c r="B126" s="50" t="s">
        <v>160</v>
      </c>
      <c r="C126" s="51"/>
      <c r="D126" s="51"/>
      <c r="E126" s="52">
        <v>0.5</v>
      </c>
      <c r="F126" s="52">
        <v>0.1</v>
      </c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</row>
    <row r="127" ht="15.75" customHeight="1">
      <c r="A127" s="43"/>
      <c r="B127" s="50" t="s">
        <v>161</v>
      </c>
      <c r="C127" s="51" t="s">
        <v>80</v>
      </c>
      <c r="D127" s="51" t="s">
        <v>80</v>
      </c>
      <c r="E127" s="52">
        <v>0.667</v>
      </c>
      <c r="F127" s="52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</row>
    <row r="128" ht="15.75" customHeight="1">
      <c r="A128" s="43"/>
      <c r="B128" s="50" t="s">
        <v>162</v>
      </c>
      <c r="C128" s="51"/>
      <c r="D128" s="51"/>
      <c r="E128" s="52">
        <v>0.5</v>
      </c>
      <c r="F128" s="52">
        <v>0.15</v>
      </c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</row>
    <row r="129" ht="15.75" customHeight="1">
      <c r="A129" s="43"/>
      <c r="B129" s="50" t="s">
        <v>163</v>
      </c>
      <c r="C129" s="51" t="s">
        <v>80</v>
      </c>
      <c r="D129" s="51" t="s">
        <v>80</v>
      </c>
      <c r="E129" s="52">
        <v>0.417</v>
      </c>
      <c r="F129" s="52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</row>
    <row r="130" ht="15.75" customHeight="1">
      <c r="A130" s="43"/>
      <c r="B130" s="55" t="s">
        <v>38</v>
      </c>
      <c r="C130" s="55"/>
      <c r="D130" s="55"/>
      <c r="E130" s="57">
        <f>3.75+8.5+8</f>
        <v>20.25</v>
      </c>
      <c r="F130" s="57">
        <v>5.0</v>
      </c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</row>
    <row r="239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</row>
    <row r="240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</row>
    <row r="241" ht="15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</row>
    <row r="242" ht="15.7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</row>
    <row r="243" ht="15.7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</row>
    <row r="244" ht="15.7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</row>
    <row r="245" ht="15.7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</row>
    <row r="246" ht="15.7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</row>
    <row r="247" ht="15.7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</row>
    <row r="248" ht="15.7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</row>
    <row r="249" ht="15.7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</row>
    <row r="250" ht="15.7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</row>
    <row r="251" ht="15.7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</row>
    <row r="252" ht="15.7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</row>
    <row r="253" ht="15.7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</row>
    <row r="254" ht="15.7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</row>
    <row r="255" ht="15.7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</row>
    <row r="256" ht="15.7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</row>
    <row r="257" ht="15.7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</row>
    <row r="258" ht="15.7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</row>
    <row r="259" ht="15.7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</row>
    <row r="260" ht="15.7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</row>
    <row r="261" ht="15.75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</row>
    <row r="262" ht="15.7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</row>
    <row r="263" ht="15.75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</row>
    <row r="264" ht="15.75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</row>
    <row r="265" ht="15.75" customHeight="1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</row>
    <row r="266" ht="15.75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</row>
    <row r="267" ht="15.75" customHeight="1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</row>
    <row r="268" ht="15.75" customHeight="1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</row>
    <row r="269" ht="15.75" customHeight="1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</row>
    <row r="270" ht="15.75" customHeight="1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</row>
    <row r="271" ht="15.75" customHeight="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</row>
    <row r="272" ht="15.75" customHeight="1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</row>
    <row r="273" ht="15.75" customHeight="1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</row>
    <row r="274" ht="15.75" customHeight="1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</row>
    <row r="275" ht="15.75" customHeight="1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</row>
    <row r="276" ht="15.75" customHeight="1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</row>
    <row r="277" ht="15.75" customHeight="1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</row>
    <row r="278" ht="15.75" customHeight="1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</row>
    <row r="279" ht="15.75" customHeight="1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</row>
    <row r="280" ht="15.75" customHeight="1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</row>
    <row r="281" ht="15.75" customHeight="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</row>
    <row r="282" ht="15.75" customHeight="1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</row>
    <row r="283" ht="15.75" customHeight="1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</row>
    <row r="284" ht="15.75" customHeight="1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</row>
    <row r="285" ht="15.75" customHeight="1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</row>
    <row r="286" ht="15.75" customHeight="1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</row>
    <row r="287" ht="15.75" customHeight="1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</row>
    <row r="288" ht="15.75" customHeight="1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</row>
    <row r="289" ht="15.75" customHeight="1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</row>
    <row r="290" ht="15.75" customHeight="1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</row>
    <row r="291" ht="15.75" customHeight="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</row>
    <row r="292" ht="15.75" customHeight="1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</row>
    <row r="293" ht="15.75" customHeight="1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</row>
    <row r="294" ht="15.75" customHeight="1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</row>
    <row r="295" ht="15.75" customHeight="1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</row>
    <row r="296" ht="15.75" customHeight="1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</row>
    <row r="297" ht="15.75" customHeight="1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</row>
    <row r="298" ht="15.75" customHeight="1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</row>
    <row r="299" ht="15.75" customHeight="1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</row>
    <row r="300" ht="15.75" customHeight="1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</row>
    <row r="301" ht="15.75" customHeight="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</row>
    <row r="302" ht="15.75" customHeight="1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</row>
    <row r="303" ht="15.75" customHeight="1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</row>
    <row r="304" ht="15.75" customHeight="1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</row>
    <row r="305" ht="15.75" customHeight="1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</row>
    <row r="306" ht="15.75" customHeight="1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</row>
    <row r="307" ht="15.75" customHeight="1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</row>
    <row r="308" ht="15.75" customHeight="1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</row>
    <row r="309" ht="15.75" customHeight="1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</row>
    <row r="310" ht="15.75" customHeight="1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</row>
    <row r="311" ht="15.75" customHeight="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</row>
    <row r="312" ht="15.75" customHeight="1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</row>
    <row r="313" ht="15.75" customHeight="1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</row>
    <row r="314" ht="15.75" customHeight="1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</row>
    <row r="315" ht="15.75" customHeight="1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</row>
    <row r="316" ht="15.75" customHeight="1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</row>
    <row r="317" ht="15.75" customHeight="1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</row>
    <row r="318" ht="15.75" customHeight="1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</row>
    <row r="319" ht="15.75" customHeight="1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</row>
    <row r="320" ht="15.75" customHeight="1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</row>
    <row r="321" ht="15.75" customHeight="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</row>
    <row r="322" ht="15.75" customHeight="1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</row>
    <row r="323" ht="15.75" customHeight="1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</row>
    <row r="324" ht="15.75" customHeight="1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</row>
    <row r="325" ht="15.75" customHeight="1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</row>
    <row r="326" ht="15.75" customHeight="1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</row>
    <row r="327" ht="15.75" customHeight="1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</row>
    <row r="328" ht="15.75" customHeight="1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</row>
    <row r="329" ht="15.75" customHeight="1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</row>
    <row r="330" ht="15.75" customHeight="1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</row>
    <row r="331" ht="15.75" customHeight="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</row>
    <row r="332" ht="15.75" customHeight="1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</row>
    <row r="333" ht="15.75" customHeight="1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</row>
    <row r="334" ht="15.75" customHeight="1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</row>
    <row r="335" ht="15.75" customHeight="1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</row>
    <row r="336" ht="15.75" customHeight="1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</row>
    <row r="337" ht="15.75" customHeight="1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</row>
    <row r="338" ht="15.75" customHeight="1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</row>
    <row r="339" ht="15.75" customHeight="1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</row>
    <row r="340" ht="15.75" customHeight="1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</row>
    <row r="341" ht="15.75" customHeight="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</row>
    <row r="342" ht="15.75" customHeight="1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</row>
    <row r="343" ht="15.75" customHeight="1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</row>
    <row r="344" ht="15.75" customHeight="1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</row>
    <row r="345" ht="15.75" customHeight="1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</row>
    <row r="346" ht="15.75" customHeight="1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</row>
    <row r="347" ht="15.75" customHeight="1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</row>
    <row r="348" ht="15.75" customHeight="1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</row>
    <row r="349" ht="15.75" customHeight="1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</row>
    <row r="350" ht="15.75" customHeight="1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</row>
    <row r="351" ht="15.75" customHeight="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</row>
    <row r="352" ht="15.75" customHeight="1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</row>
    <row r="353" ht="15.75" customHeight="1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</row>
    <row r="354" ht="15.75" customHeight="1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</row>
    <row r="355" ht="15.75" customHeight="1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</row>
    <row r="356" ht="15.75" customHeight="1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</row>
    <row r="357" ht="15.75" customHeight="1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</row>
    <row r="358" ht="15.75" customHeight="1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</row>
    <row r="359" ht="15.75" customHeight="1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</row>
    <row r="360" ht="15.75" customHeight="1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</row>
    <row r="361" ht="15.75" customHeight="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</row>
    <row r="362" ht="15.75" customHeight="1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</row>
    <row r="363" ht="15.75" customHeight="1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</row>
    <row r="364" ht="15.75" customHeight="1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</row>
    <row r="365" ht="15.75" customHeight="1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</row>
    <row r="366" ht="15.75" customHeight="1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</row>
    <row r="367" ht="15.75" customHeight="1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</row>
    <row r="368" ht="15.75" customHeight="1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</row>
    <row r="369" ht="15.75" customHeight="1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</row>
    <row r="370" ht="15.75" customHeight="1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</row>
    <row r="371" ht="15.75" customHeight="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</row>
    <row r="372" ht="15.75" customHeight="1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</row>
    <row r="373" ht="15.75" customHeight="1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</row>
    <row r="374" ht="15.75" customHeight="1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</row>
    <row r="375" ht="15.75" customHeight="1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</row>
    <row r="376" ht="15.75" customHeight="1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</row>
    <row r="377" ht="15.75" customHeight="1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</row>
    <row r="378" ht="15.75" customHeight="1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</row>
    <row r="379" ht="15.75" customHeight="1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</row>
    <row r="380" ht="15.75" customHeight="1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</row>
    <row r="381" ht="15.75" customHeight="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</row>
    <row r="382" ht="15.75" customHeight="1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</row>
    <row r="383" ht="15.75" customHeight="1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</row>
    <row r="384" ht="15.75" customHeight="1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</row>
    <row r="385" ht="15.75" customHeight="1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</row>
    <row r="386" ht="15.75" customHeight="1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</row>
    <row r="387" ht="15.75" customHeight="1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</row>
    <row r="388" ht="15.75" customHeight="1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</row>
    <row r="389" ht="15.75" customHeight="1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</row>
    <row r="390" ht="15.75" customHeight="1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</row>
    <row r="391" ht="15.75" customHeight="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</row>
    <row r="392" ht="15.75" customHeight="1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</row>
    <row r="393" ht="15.75" customHeight="1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</row>
    <row r="394" ht="15.75" customHeight="1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</row>
    <row r="395" ht="15.75" customHeight="1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</row>
    <row r="396" ht="15.75" customHeight="1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</row>
    <row r="397" ht="15.75" customHeight="1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</row>
    <row r="398" ht="15.75" customHeight="1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</row>
    <row r="399" ht="15.75" customHeight="1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</row>
    <row r="400" ht="15.75" customHeight="1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</row>
    <row r="401" ht="15.75" customHeight="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</row>
    <row r="402" ht="15.75" customHeight="1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</row>
    <row r="403" ht="15.75" customHeight="1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</row>
    <row r="404" ht="15.75" customHeight="1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</row>
    <row r="405" ht="15.75" customHeight="1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</row>
    <row r="406" ht="15.75" customHeight="1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</row>
    <row r="407" ht="15.75" customHeight="1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</row>
    <row r="408" ht="15.75" customHeight="1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</row>
    <row r="409" ht="15.75" customHeight="1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</row>
    <row r="410" ht="15.75" customHeight="1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</row>
    <row r="411" ht="15.75" customHeight="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</row>
    <row r="412" ht="15.75" customHeight="1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</row>
    <row r="413" ht="15.75" customHeight="1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</row>
    <row r="414" ht="15.75" customHeight="1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</row>
    <row r="415" ht="15.75" customHeight="1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</row>
    <row r="416" ht="15.75" customHeight="1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</row>
    <row r="417" ht="15.75" customHeight="1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</row>
    <row r="418" ht="15.75" customHeight="1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</row>
    <row r="419" ht="15.75" customHeight="1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</row>
    <row r="420" ht="15.75" customHeight="1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</row>
    <row r="421" ht="15.75" customHeight="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</row>
    <row r="422" ht="15.75" customHeight="1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</row>
    <row r="423" ht="15.75" customHeight="1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</row>
    <row r="424" ht="15.75" customHeight="1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</row>
    <row r="425" ht="15.75" customHeight="1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</row>
    <row r="426" ht="15.75" customHeight="1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</row>
    <row r="427" ht="15.75" customHeight="1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</row>
    <row r="428" ht="15.75" customHeight="1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</row>
    <row r="429" ht="15.75" customHeight="1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</row>
    <row r="430" ht="15.75" customHeight="1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</row>
    <row r="431" ht="15.75" customHeight="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</row>
    <row r="432" ht="15.75" customHeight="1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</row>
    <row r="433" ht="15.75" customHeight="1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</row>
    <row r="434" ht="15.75" customHeight="1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</row>
    <row r="435" ht="15.75" customHeight="1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</row>
    <row r="436" ht="15.75" customHeight="1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</row>
    <row r="437" ht="15.75" customHeight="1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</row>
    <row r="438" ht="15.75" customHeight="1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</row>
    <row r="439" ht="15.75" customHeight="1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</row>
    <row r="440" ht="15.75" customHeight="1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</row>
    <row r="441" ht="15.75" customHeight="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</row>
    <row r="442" ht="15.75" customHeight="1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</row>
    <row r="443" ht="15.75" customHeight="1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</row>
    <row r="444" ht="15.75" customHeight="1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</row>
    <row r="445" ht="15.75" customHeight="1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</row>
    <row r="446" ht="15.75" customHeight="1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</row>
    <row r="447" ht="15.75" customHeight="1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</row>
    <row r="448" ht="15.75" customHeight="1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</row>
    <row r="449" ht="15.75" customHeight="1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</row>
    <row r="450" ht="15.75" customHeight="1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</row>
    <row r="451" ht="15.75" customHeight="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</row>
    <row r="452" ht="15.75" customHeight="1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</row>
    <row r="453" ht="15.75" customHeight="1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</row>
    <row r="454" ht="15.75" customHeight="1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</row>
    <row r="455" ht="15.75" customHeight="1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</row>
    <row r="456" ht="15.75" customHeight="1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</row>
    <row r="457" ht="15.75" customHeight="1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</row>
    <row r="458" ht="15.75" customHeight="1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</row>
    <row r="459" ht="15.75" customHeight="1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</row>
    <row r="460" ht="15.75" customHeight="1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</row>
    <row r="461" ht="15.75" customHeight="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</row>
    <row r="462" ht="15.75" customHeight="1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</row>
    <row r="463" ht="15.75" customHeight="1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</row>
    <row r="464" ht="15.75" customHeight="1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</row>
    <row r="465" ht="15.75" customHeight="1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</row>
    <row r="466" ht="15.75" customHeight="1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</row>
    <row r="467" ht="15.75" customHeight="1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</row>
    <row r="468" ht="15.75" customHeight="1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</row>
    <row r="469" ht="15.75" customHeight="1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</row>
    <row r="470" ht="15.75" customHeight="1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</row>
    <row r="471" ht="15.75" customHeight="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</row>
    <row r="472" ht="15.75" customHeight="1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</row>
    <row r="473" ht="15.75" customHeight="1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</row>
    <row r="474" ht="15.75" customHeight="1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</row>
    <row r="475" ht="15.75" customHeight="1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</row>
    <row r="476" ht="15.75" customHeight="1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</row>
    <row r="477" ht="15.75" customHeight="1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</row>
    <row r="478" ht="15.75" customHeight="1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</row>
    <row r="479" ht="15.75" customHeight="1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</row>
    <row r="480" ht="15.75" customHeight="1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</row>
    <row r="481" ht="15.75" customHeight="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</row>
    <row r="482" ht="15.75" customHeight="1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</row>
    <row r="483" ht="15.75" customHeight="1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</row>
    <row r="484" ht="15.75" customHeight="1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</row>
    <row r="485" ht="15.75" customHeight="1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</row>
    <row r="486" ht="15.75" customHeight="1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</row>
    <row r="487" ht="15.75" customHeight="1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</row>
    <row r="488" ht="15.75" customHeight="1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</row>
    <row r="489" ht="15.75" customHeight="1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</row>
    <row r="490" ht="15.75" customHeight="1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</row>
    <row r="491" ht="15.75" customHeight="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</row>
    <row r="492" ht="15.75" customHeight="1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</row>
    <row r="493" ht="15.75" customHeight="1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</row>
    <row r="494" ht="15.75" customHeight="1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</row>
    <row r="495" ht="15.75" customHeight="1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</row>
    <row r="496" ht="15.75" customHeight="1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</row>
    <row r="497" ht="15.75" customHeight="1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</row>
    <row r="498" ht="15.75" customHeight="1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</row>
    <row r="499" ht="15.75" customHeight="1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</row>
    <row r="500" ht="15.75" customHeight="1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</row>
    <row r="501" ht="15.75" customHeight="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</row>
    <row r="502" ht="15.75" customHeight="1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</row>
    <row r="503" ht="15.75" customHeight="1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</row>
    <row r="504" ht="15.75" customHeight="1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</row>
    <row r="505" ht="15.75" customHeight="1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</row>
    <row r="506" ht="15.75" customHeight="1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</row>
    <row r="507" ht="15.75" customHeight="1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</row>
    <row r="508" ht="15.75" customHeight="1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</row>
    <row r="509" ht="15.75" customHeight="1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</row>
    <row r="510" ht="15.75" customHeight="1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</row>
    <row r="511" ht="15.75" customHeight="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</row>
    <row r="512" ht="15.75" customHeight="1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</row>
    <row r="513" ht="15.75" customHeight="1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</row>
    <row r="514" ht="15.75" customHeight="1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</row>
    <row r="515" ht="15.75" customHeight="1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</row>
    <row r="516" ht="15.75" customHeight="1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</row>
    <row r="517" ht="15.75" customHeight="1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</row>
    <row r="518" ht="15.75" customHeight="1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</row>
    <row r="519" ht="15.75" customHeight="1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</row>
    <row r="520" ht="15.75" customHeight="1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</row>
    <row r="521" ht="15.75" customHeight="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</row>
    <row r="522" ht="15.75" customHeight="1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</row>
    <row r="523" ht="15.75" customHeight="1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</row>
    <row r="524" ht="15.75" customHeight="1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</row>
    <row r="525" ht="15.75" customHeight="1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</row>
    <row r="526" ht="15.75" customHeight="1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</row>
    <row r="527" ht="15.75" customHeight="1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</row>
    <row r="528" ht="15.75" customHeight="1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</row>
    <row r="529" ht="15.75" customHeight="1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</row>
    <row r="530" ht="15.75" customHeight="1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</row>
    <row r="531" ht="15.75" customHeight="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</row>
    <row r="532" ht="15.75" customHeight="1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</row>
    <row r="533" ht="15.75" customHeight="1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</row>
    <row r="534" ht="15.75" customHeight="1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</row>
    <row r="535" ht="15.75" customHeight="1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</row>
    <row r="536" ht="15.75" customHeight="1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</row>
    <row r="537" ht="15.75" customHeight="1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</row>
    <row r="538" ht="15.75" customHeight="1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</row>
    <row r="539" ht="15.75" customHeight="1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</row>
    <row r="540" ht="15.75" customHeight="1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</row>
    <row r="541" ht="15.75" customHeight="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</row>
    <row r="542" ht="15.75" customHeight="1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</row>
    <row r="543" ht="15.75" customHeight="1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</row>
    <row r="544" ht="15.75" customHeight="1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</row>
    <row r="545" ht="15.75" customHeight="1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</row>
    <row r="546" ht="15.75" customHeight="1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</row>
    <row r="547" ht="15.75" customHeight="1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</row>
    <row r="548" ht="15.75" customHeight="1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</row>
    <row r="549" ht="15.75" customHeight="1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</row>
    <row r="550" ht="15.75" customHeight="1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</row>
    <row r="551" ht="15.75" customHeight="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</row>
    <row r="552" ht="15.75" customHeight="1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</row>
    <row r="553" ht="15.75" customHeight="1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</row>
    <row r="554" ht="15.75" customHeight="1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</row>
    <row r="555" ht="15.75" customHeight="1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</row>
    <row r="556" ht="15.75" customHeight="1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</row>
    <row r="557" ht="15.75" customHeight="1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</row>
    <row r="558" ht="15.75" customHeight="1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</row>
    <row r="559" ht="15.75" customHeight="1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</row>
    <row r="560" ht="15.75" customHeight="1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</row>
    <row r="561" ht="15.75" customHeight="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</row>
    <row r="562" ht="15.75" customHeight="1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</row>
    <row r="563" ht="15.75" customHeight="1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</row>
    <row r="564" ht="15.75" customHeight="1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</row>
    <row r="565" ht="15.75" customHeight="1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</row>
    <row r="566" ht="15.75" customHeight="1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</row>
    <row r="567" ht="15.75" customHeight="1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</row>
    <row r="568" ht="15.75" customHeight="1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</row>
    <row r="569" ht="15.75" customHeight="1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</row>
    <row r="570" ht="15.75" customHeight="1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</row>
    <row r="571" ht="15.75" customHeight="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</row>
    <row r="572" ht="15.75" customHeight="1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</row>
    <row r="573" ht="15.75" customHeight="1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</row>
    <row r="574" ht="15.75" customHeight="1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</row>
    <row r="575" ht="15.75" customHeight="1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</row>
    <row r="576" ht="15.75" customHeight="1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</row>
    <row r="577" ht="15.75" customHeight="1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</row>
    <row r="578" ht="15.75" customHeight="1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</row>
    <row r="579" ht="15.75" customHeight="1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</row>
    <row r="580" ht="15.75" customHeight="1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</row>
    <row r="581" ht="15.75" customHeight="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</row>
    <row r="582" ht="15.75" customHeight="1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</row>
    <row r="583" ht="15.75" customHeight="1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</row>
    <row r="584" ht="15.75" customHeight="1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</row>
    <row r="585" ht="15.75" customHeight="1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</row>
    <row r="586" ht="15.75" customHeight="1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</row>
    <row r="587" ht="15.75" customHeight="1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</row>
    <row r="588" ht="15.75" customHeight="1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</row>
    <row r="589" ht="15.75" customHeight="1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</row>
    <row r="590" ht="15.75" customHeight="1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</row>
    <row r="591" ht="15.75" customHeight="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</row>
    <row r="592" ht="15.75" customHeight="1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</row>
    <row r="593" ht="15.75" customHeight="1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</row>
    <row r="594" ht="15.75" customHeight="1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</row>
    <row r="595" ht="15.75" customHeight="1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</row>
    <row r="596" ht="15.75" customHeight="1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</row>
    <row r="597" ht="15.75" customHeight="1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</row>
    <row r="598" ht="15.75" customHeight="1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</row>
    <row r="599" ht="15.75" customHeight="1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</row>
    <row r="600" ht="15.75" customHeight="1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</row>
    <row r="601" ht="15.75" customHeight="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</row>
    <row r="602" ht="15.75" customHeight="1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</row>
    <row r="603" ht="15.75" customHeight="1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</row>
    <row r="604" ht="15.75" customHeight="1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</row>
    <row r="605" ht="15.75" customHeight="1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</row>
    <row r="606" ht="15.75" customHeight="1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</row>
    <row r="607" ht="15.75" customHeight="1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</row>
    <row r="608" ht="15.75" customHeight="1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</row>
    <row r="609" ht="15.75" customHeight="1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</row>
    <row r="610" ht="15.75" customHeight="1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</row>
    <row r="611" ht="15.75" customHeight="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</row>
    <row r="612" ht="15.75" customHeight="1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</row>
    <row r="613" ht="15.75" customHeight="1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</row>
    <row r="614" ht="15.75" customHeight="1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</row>
    <row r="615" ht="15.75" customHeight="1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</row>
    <row r="616" ht="15.75" customHeight="1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</row>
    <row r="617" ht="15.75" customHeight="1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</row>
    <row r="618" ht="15.75" customHeight="1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</row>
    <row r="619" ht="15.75" customHeight="1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</row>
    <row r="620" ht="15.75" customHeight="1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</row>
    <row r="621" ht="15.75" customHeight="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</row>
    <row r="622" ht="15.75" customHeight="1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</row>
    <row r="623" ht="15.75" customHeight="1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</row>
    <row r="624" ht="15.75" customHeight="1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</row>
    <row r="625" ht="15.75" customHeight="1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</row>
    <row r="626" ht="15.75" customHeight="1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</row>
    <row r="627" ht="15.75" customHeight="1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</row>
    <row r="628" ht="15.75" customHeight="1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</row>
    <row r="629" ht="15.75" customHeight="1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</row>
    <row r="630" ht="15.75" customHeight="1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</row>
    <row r="631" ht="15.75" customHeight="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</row>
    <row r="632" ht="15.75" customHeight="1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</row>
    <row r="633" ht="15.75" customHeight="1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</row>
    <row r="634" ht="15.75" customHeight="1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</row>
    <row r="635" ht="15.75" customHeight="1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</row>
    <row r="636" ht="15.75" customHeight="1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</row>
    <row r="637" ht="15.75" customHeight="1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</row>
    <row r="638" ht="15.75" customHeight="1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</row>
    <row r="639" ht="15.75" customHeight="1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</row>
    <row r="640" ht="15.75" customHeight="1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</row>
    <row r="641" ht="15.75" customHeight="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</row>
    <row r="642" ht="15.75" customHeight="1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</row>
    <row r="643" ht="15.75" customHeight="1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</row>
    <row r="644" ht="15.75" customHeight="1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</row>
    <row r="645" ht="15.75" customHeight="1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</row>
    <row r="646" ht="15.75" customHeight="1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</row>
    <row r="647" ht="15.75" customHeight="1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</row>
    <row r="648" ht="15.75" customHeight="1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</row>
    <row r="649" ht="15.75" customHeight="1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</row>
    <row r="650" ht="15.75" customHeight="1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</row>
    <row r="651" ht="15.75" customHeight="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</row>
    <row r="652" ht="15.75" customHeight="1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</row>
    <row r="653" ht="15.75" customHeight="1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</row>
    <row r="654" ht="15.75" customHeight="1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</row>
    <row r="655" ht="15.75" customHeight="1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</row>
    <row r="656" ht="15.75" customHeight="1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</row>
    <row r="657" ht="15.75" customHeight="1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</row>
    <row r="658" ht="15.75" customHeight="1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</row>
    <row r="659" ht="15.75" customHeight="1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</row>
    <row r="660" ht="15.75" customHeight="1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</row>
    <row r="661" ht="15.75" customHeight="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</row>
    <row r="662" ht="15.75" customHeight="1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</row>
    <row r="663" ht="15.75" customHeight="1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</row>
    <row r="664" ht="15.75" customHeight="1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</row>
    <row r="665" ht="15.75" customHeight="1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</row>
    <row r="666" ht="15.75" customHeight="1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</row>
    <row r="667" ht="15.75" customHeight="1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</row>
    <row r="668" ht="15.75" customHeight="1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</row>
    <row r="669" ht="15.75" customHeight="1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</row>
    <row r="670" ht="15.75" customHeight="1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</row>
    <row r="671" ht="15.75" customHeight="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</row>
    <row r="672" ht="15.75" customHeight="1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</row>
    <row r="673" ht="15.75" customHeight="1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</row>
    <row r="674" ht="15.75" customHeight="1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</row>
    <row r="675" ht="15.75" customHeight="1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</row>
    <row r="676" ht="15.75" customHeight="1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</row>
    <row r="677" ht="15.75" customHeight="1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</row>
    <row r="678" ht="15.75" customHeight="1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</row>
    <row r="679" ht="15.75" customHeight="1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</row>
    <row r="680" ht="15.75" customHeight="1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</row>
    <row r="681" ht="15.75" customHeight="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</row>
    <row r="682" ht="15.75" customHeight="1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</row>
    <row r="683" ht="15.75" customHeight="1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</row>
    <row r="684" ht="15.75" customHeight="1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</row>
    <row r="685" ht="15.75" customHeight="1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</row>
    <row r="686" ht="15.75" customHeight="1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</row>
    <row r="687" ht="15.75" customHeight="1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</row>
    <row r="688" ht="15.75" customHeight="1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</row>
    <row r="689" ht="15.75" customHeight="1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</row>
    <row r="690" ht="15.75" customHeight="1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</row>
    <row r="691" ht="15.75" customHeight="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</row>
    <row r="692" ht="15.75" customHeight="1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</row>
    <row r="693" ht="15.75" customHeight="1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</row>
    <row r="694" ht="15.75" customHeight="1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</row>
    <row r="695" ht="15.75" customHeight="1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</row>
    <row r="696" ht="15.75" customHeight="1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</row>
    <row r="697" ht="15.75" customHeight="1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</row>
    <row r="698" ht="15.75" customHeight="1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</row>
    <row r="699" ht="15.75" customHeight="1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</row>
    <row r="700" ht="15.75" customHeight="1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</row>
    <row r="701" ht="15.75" customHeight="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</row>
    <row r="702" ht="15.75" customHeight="1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</row>
    <row r="703" ht="15.75" customHeight="1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</row>
    <row r="704" ht="15.75" customHeight="1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</row>
    <row r="705" ht="15.75" customHeight="1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</row>
    <row r="706" ht="15.75" customHeight="1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</row>
    <row r="707" ht="15.75" customHeight="1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</row>
    <row r="708" ht="15.75" customHeight="1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</row>
    <row r="709" ht="15.75" customHeight="1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</row>
    <row r="710" ht="15.75" customHeight="1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</row>
    <row r="711" ht="15.75" customHeight="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</row>
    <row r="712" ht="15.75" customHeight="1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</row>
    <row r="713" ht="15.75" customHeight="1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</row>
    <row r="714" ht="15.75" customHeight="1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</row>
    <row r="715" ht="15.75" customHeight="1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</row>
    <row r="716" ht="15.75" customHeight="1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</row>
    <row r="717" ht="15.75" customHeight="1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</row>
    <row r="718" ht="15.75" customHeight="1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</row>
    <row r="719" ht="15.75" customHeight="1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</row>
    <row r="720" ht="15.75" customHeight="1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</row>
    <row r="721" ht="15.75" customHeight="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</row>
    <row r="722" ht="15.75" customHeight="1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</row>
    <row r="723" ht="15.75" customHeight="1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</row>
    <row r="724" ht="15.75" customHeight="1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</row>
    <row r="725" ht="15.75" customHeight="1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</row>
    <row r="726" ht="15.75" customHeight="1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</row>
    <row r="727" ht="15.75" customHeight="1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</row>
    <row r="728" ht="15.75" customHeight="1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</row>
    <row r="729" ht="15.75" customHeight="1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</row>
    <row r="730" ht="15.75" customHeight="1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</row>
    <row r="731" ht="15.75" customHeight="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</row>
    <row r="732" ht="15.75" customHeight="1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</row>
    <row r="733" ht="15.75" customHeight="1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</row>
    <row r="734" ht="15.75" customHeight="1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</row>
    <row r="735" ht="15.75" customHeight="1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</row>
    <row r="736" ht="15.75" customHeight="1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</row>
    <row r="737" ht="15.75" customHeight="1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</row>
    <row r="738" ht="15.75" customHeight="1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</row>
    <row r="739" ht="15.75" customHeight="1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</row>
    <row r="740" ht="15.75" customHeight="1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</row>
    <row r="741" ht="15.75" customHeight="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</row>
    <row r="742" ht="15.75" customHeight="1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</row>
    <row r="743" ht="15.75" customHeight="1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</row>
    <row r="744" ht="15.75" customHeight="1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</row>
    <row r="745" ht="15.75" customHeight="1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</row>
    <row r="746" ht="15.75" customHeight="1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</row>
    <row r="747" ht="15.75" customHeight="1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</row>
    <row r="748" ht="15.75" customHeight="1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</row>
    <row r="749" ht="15.75" customHeight="1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</row>
    <row r="750" ht="15.75" customHeight="1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</row>
    <row r="751" ht="15.75" customHeight="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</row>
    <row r="752" ht="15.75" customHeight="1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</row>
    <row r="753" ht="15.75" customHeight="1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</row>
    <row r="754" ht="15.75" customHeight="1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</row>
    <row r="755" ht="15.75" customHeight="1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</row>
    <row r="756" ht="15.75" customHeight="1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</row>
    <row r="757" ht="15.75" customHeight="1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</row>
    <row r="758" ht="15.75" customHeight="1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</row>
    <row r="759" ht="15.75" customHeight="1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</row>
    <row r="760" ht="15.75" customHeight="1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</row>
    <row r="761" ht="15.75" customHeight="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</row>
    <row r="762" ht="15.75" customHeight="1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</row>
    <row r="763" ht="15.75" customHeight="1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</row>
    <row r="764" ht="15.75" customHeight="1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</row>
    <row r="765" ht="15.75" customHeight="1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</row>
    <row r="766" ht="15.75" customHeight="1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</row>
    <row r="767" ht="15.75" customHeight="1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</row>
    <row r="768" ht="15.75" customHeight="1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</row>
    <row r="769" ht="15.75" customHeight="1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</row>
    <row r="770" ht="15.75" customHeight="1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</row>
    <row r="771" ht="15.75" customHeight="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</row>
    <row r="772" ht="15.75" customHeight="1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</row>
    <row r="773" ht="15.75" customHeight="1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</row>
    <row r="774" ht="15.75" customHeight="1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</row>
    <row r="775" ht="15.75" customHeight="1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</row>
    <row r="776" ht="15.75" customHeight="1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</row>
    <row r="777" ht="15.75" customHeight="1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</row>
    <row r="778" ht="15.75" customHeight="1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</row>
    <row r="779" ht="15.75" customHeight="1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</row>
    <row r="780" ht="15.75" customHeight="1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</row>
    <row r="781" ht="15.75" customHeight="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</row>
    <row r="782" ht="15.75" customHeight="1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</row>
    <row r="783" ht="15.75" customHeight="1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</row>
    <row r="784" ht="15.75" customHeight="1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</row>
    <row r="785" ht="15.75" customHeight="1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</row>
    <row r="786" ht="15.75" customHeight="1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</row>
    <row r="787" ht="15.75" customHeight="1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</row>
    <row r="788" ht="15.75" customHeight="1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</row>
    <row r="789" ht="15.75" customHeight="1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</row>
    <row r="790" ht="15.75" customHeight="1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</row>
    <row r="791" ht="15.75" customHeight="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</row>
    <row r="792" ht="15.75" customHeight="1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</row>
    <row r="793" ht="15.75" customHeight="1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</row>
    <row r="794" ht="15.75" customHeight="1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</row>
    <row r="795" ht="15.75" customHeight="1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</row>
    <row r="796" ht="15.75" customHeight="1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</row>
    <row r="797" ht="15.75" customHeight="1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</row>
    <row r="798" ht="15.75" customHeight="1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</row>
    <row r="799" ht="15.75" customHeight="1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</row>
    <row r="800" ht="15.75" customHeight="1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</row>
    <row r="801" ht="15.75" customHeight="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</row>
    <row r="802" ht="15.75" customHeight="1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</row>
    <row r="803" ht="15.75" customHeight="1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</row>
    <row r="804" ht="15.75" customHeight="1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</row>
    <row r="805" ht="15.75" customHeight="1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</row>
    <row r="806" ht="15.75" customHeight="1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</row>
    <row r="807" ht="15.75" customHeight="1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</row>
    <row r="808" ht="15.75" customHeight="1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</row>
    <row r="809" ht="15.75" customHeight="1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</row>
    <row r="810" ht="15.75" customHeight="1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</row>
    <row r="811" ht="15.75" customHeight="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</row>
    <row r="812" ht="15.75" customHeight="1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</row>
    <row r="813" ht="15.75" customHeight="1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</row>
    <row r="814" ht="15.75" customHeight="1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</row>
    <row r="815" ht="15.75" customHeight="1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</row>
    <row r="816" ht="15.75" customHeight="1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</row>
    <row r="817" ht="15.75" customHeight="1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</row>
    <row r="818" ht="15.75" customHeight="1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</row>
    <row r="819" ht="15.75" customHeight="1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</row>
    <row r="820" ht="15.75" customHeight="1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</row>
    <row r="821" ht="15.75" customHeight="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</row>
    <row r="822" ht="15.75" customHeight="1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</row>
    <row r="823" ht="15.75" customHeight="1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</row>
    <row r="824" ht="15.75" customHeight="1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</row>
    <row r="825" ht="15.75" customHeight="1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</row>
    <row r="826" ht="15.75" customHeight="1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</row>
    <row r="827" ht="15.75" customHeight="1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</row>
    <row r="828" ht="15.75" customHeight="1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</row>
    <row r="829" ht="15.75" customHeight="1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</row>
    <row r="830" ht="15.75" customHeight="1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</row>
    <row r="831" ht="15.75" customHeight="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</row>
    <row r="832" ht="15.75" customHeight="1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</row>
    <row r="833" ht="15.75" customHeight="1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</row>
    <row r="834" ht="15.75" customHeight="1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</row>
    <row r="835" ht="15.75" customHeight="1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</row>
    <row r="836" ht="15.75" customHeight="1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</row>
    <row r="837" ht="15.75" customHeight="1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</row>
    <row r="838" ht="15.75" customHeight="1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</row>
    <row r="839" ht="15.75" customHeight="1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</row>
    <row r="840" ht="15.75" customHeight="1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</row>
    <row r="841" ht="15.75" customHeight="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</row>
    <row r="842" ht="15.75" customHeight="1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</row>
    <row r="843" ht="15.75" customHeight="1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</row>
    <row r="844" ht="15.75" customHeight="1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</row>
    <row r="845" ht="15.75" customHeight="1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</row>
    <row r="846" ht="15.75" customHeight="1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</row>
    <row r="847" ht="15.75" customHeight="1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</row>
    <row r="848" ht="15.75" customHeight="1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</row>
    <row r="849" ht="15.75" customHeight="1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</row>
    <row r="850" ht="15.75" customHeight="1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</row>
    <row r="851" ht="15.75" customHeight="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</row>
    <row r="852" ht="15.75" customHeight="1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</row>
    <row r="853" ht="15.75" customHeight="1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</row>
    <row r="854" ht="15.75" customHeight="1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</row>
    <row r="855" ht="15.75" customHeight="1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</row>
    <row r="856" ht="15.75" customHeight="1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</row>
    <row r="857" ht="15.75" customHeight="1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</row>
    <row r="858" ht="15.75" customHeight="1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</row>
    <row r="859" ht="15.75" customHeight="1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</row>
    <row r="860" ht="15.75" customHeight="1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</row>
    <row r="861" ht="15.75" customHeight="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</row>
    <row r="862" ht="15.75" customHeight="1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</row>
    <row r="863" ht="15.75" customHeight="1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</row>
    <row r="864" ht="15.75" customHeight="1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</row>
    <row r="865" ht="15.75" customHeight="1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</row>
    <row r="866" ht="15.75" customHeight="1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</row>
    <row r="867" ht="15.75" customHeight="1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</row>
    <row r="868" ht="15.75" customHeight="1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</row>
    <row r="869" ht="15.75" customHeight="1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</row>
    <row r="870" ht="15.75" customHeight="1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</row>
    <row r="871" ht="15.75" customHeight="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</row>
    <row r="872" ht="15.75" customHeight="1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</row>
    <row r="873" ht="15.75" customHeight="1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</row>
    <row r="874" ht="15.75" customHeight="1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</row>
    <row r="875" ht="15.75" customHeight="1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</row>
    <row r="876" ht="15.75" customHeight="1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</row>
    <row r="877" ht="15.75" customHeight="1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</row>
    <row r="878" ht="15.75" customHeight="1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</row>
    <row r="879" ht="15.75" customHeight="1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</row>
    <row r="880" ht="15.75" customHeight="1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</row>
    <row r="881" ht="15.75" customHeight="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</row>
    <row r="882" ht="15.75" customHeight="1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</row>
    <row r="883" ht="15.75" customHeight="1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</row>
    <row r="884" ht="15.75" customHeight="1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</row>
    <row r="885" ht="15.75" customHeight="1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</row>
    <row r="886" ht="15.75" customHeight="1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</row>
    <row r="887" ht="15.75" customHeight="1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</row>
    <row r="888" ht="15.75" customHeight="1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</row>
    <row r="889" ht="15.75" customHeight="1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</row>
    <row r="890" ht="15.75" customHeight="1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</row>
    <row r="891" ht="15.75" customHeight="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</row>
    <row r="892" ht="15.75" customHeight="1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</row>
    <row r="893" ht="15.75" customHeight="1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</row>
    <row r="894" ht="15.75" customHeight="1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</row>
    <row r="895" ht="15.75" customHeight="1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</row>
    <row r="896" ht="15.75" customHeight="1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</row>
    <row r="897" ht="15.75" customHeight="1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</row>
    <row r="898" ht="15.75" customHeight="1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</row>
    <row r="899" ht="15.75" customHeight="1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</row>
    <row r="900" ht="15.75" customHeight="1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</row>
    <row r="901" ht="15.75" customHeight="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</row>
    <row r="902" ht="15.75" customHeight="1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</row>
    <row r="903" ht="15.75" customHeight="1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</row>
    <row r="904" ht="15.75" customHeight="1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</row>
    <row r="905" ht="15.75" customHeight="1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</row>
    <row r="906" ht="15.75" customHeight="1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</row>
    <row r="907" ht="15.75" customHeight="1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</row>
    <row r="908" ht="15.75" customHeight="1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</row>
    <row r="909" ht="15.75" customHeight="1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</row>
    <row r="910" ht="15.75" customHeight="1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</row>
    <row r="911" ht="15.75" customHeight="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</row>
    <row r="912" ht="15.75" customHeight="1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</row>
    <row r="913" ht="15.75" customHeight="1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</row>
    <row r="914" ht="15.75" customHeight="1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</row>
    <row r="915" ht="15.75" customHeight="1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</row>
    <row r="916" ht="15.75" customHeight="1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</row>
    <row r="917" ht="15.75" customHeight="1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</row>
    <row r="918" ht="15.75" customHeight="1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</row>
    <row r="919" ht="15.75" customHeight="1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</row>
    <row r="920" ht="15.75" customHeight="1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</row>
    <row r="921" ht="15.75" customHeight="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</row>
    <row r="922" ht="15.75" customHeight="1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</row>
    <row r="923" ht="15.75" customHeight="1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</row>
    <row r="924" ht="15.75" customHeight="1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</row>
    <row r="925" ht="15.75" customHeight="1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</row>
    <row r="926" ht="15.75" customHeight="1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</row>
    <row r="927" ht="15.75" customHeight="1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</row>
    <row r="928" ht="15.75" customHeight="1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</row>
    <row r="929" ht="15.75" customHeight="1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</row>
    <row r="930" ht="15.75" customHeight="1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</row>
    <row r="931" ht="15.75" customHeight="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</row>
    <row r="932" ht="15.75" customHeight="1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</row>
    <row r="933" ht="15.75" customHeight="1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</row>
    <row r="934" ht="15.75" customHeight="1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</row>
    <row r="935" ht="15.75" customHeight="1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</row>
    <row r="936" ht="15.75" customHeight="1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</row>
    <row r="937" ht="15.75" customHeight="1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</row>
    <row r="938" ht="15.75" customHeight="1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</row>
    <row r="939" ht="15.75" customHeight="1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</row>
    <row r="940" ht="15.75" customHeight="1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</row>
    <row r="941" ht="15.75" customHeight="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</row>
    <row r="942" ht="15.75" customHeight="1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</row>
    <row r="943" ht="15.75" customHeight="1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</row>
    <row r="944" ht="15.75" customHeight="1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</row>
    <row r="945" ht="15.75" customHeight="1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</row>
    <row r="946" ht="15.75" customHeight="1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</row>
    <row r="947" ht="15.75" customHeight="1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</row>
    <row r="948" ht="15.75" customHeight="1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</row>
    <row r="949" ht="15.75" customHeight="1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</row>
    <row r="950" ht="15.75" customHeight="1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</row>
    <row r="951" ht="15.75" customHeight="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</row>
    <row r="952" ht="15.75" customHeight="1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</row>
    <row r="953" ht="15.75" customHeight="1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</row>
    <row r="954" ht="15.75" customHeight="1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</row>
    <row r="955" ht="15.75" customHeight="1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</row>
    <row r="956" ht="15.75" customHeight="1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</row>
    <row r="957" ht="15.75" customHeight="1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</row>
    <row r="958" ht="15.75" customHeight="1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</row>
    <row r="959" ht="15.75" customHeight="1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</row>
    <row r="960" ht="15.75" customHeight="1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</row>
    <row r="961" ht="15.75" customHeight="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</row>
    <row r="962" ht="15.75" customHeight="1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</row>
    <row r="963" ht="15.75" customHeight="1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</row>
    <row r="964" ht="15.75" customHeight="1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</row>
    <row r="965" ht="15.75" customHeight="1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</row>
    <row r="966" ht="15.75" customHeight="1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</row>
    <row r="967" ht="15.75" customHeight="1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</row>
    <row r="968" ht="15.75" customHeight="1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</row>
    <row r="969" ht="15.75" customHeight="1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</row>
    <row r="970" ht="15.75" customHeight="1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</row>
    <row r="971" ht="15.75" customHeight="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</row>
    <row r="972" ht="15.75" customHeight="1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</row>
    <row r="973" ht="15.75" customHeight="1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</row>
    <row r="974" ht="15.75" customHeight="1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</row>
    <row r="975" ht="15.75" customHeight="1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</row>
    <row r="976" ht="15.75" customHeight="1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</row>
    <row r="977" ht="15.75" customHeight="1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</row>
    <row r="978" ht="15.75" customHeight="1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</row>
    <row r="979" ht="15.75" customHeight="1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</row>
    <row r="980" ht="15.75" customHeight="1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</row>
    <row r="981" ht="15.75" customHeight="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</row>
    <row r="982" ht="15.75" customHeight="1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</row>
    <row r="983" ht="15.75" customHeight="1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</row>
    <row r="984" ht="15.75" customHeight="1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</row>
    <row r="985" ht="15.75" customHeight="1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</row>
    <row r="986" ht="15.75" customHeight="1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</row>
    <row r="987" ht="15.75" customHeight="1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</row>
    <row r="988" ht="15.75" customHeight="1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</row>
    <row r="989" ht="15.75" customHeight="1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</row>
    <row r="990" ht="15.75" customHeight="1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</row>
    <row r="991" ht="15.75" customHeight="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</row>
    <row r="992" ht="15.75" customHeight="1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</row>
    <row r="993" ht="15.75" customHeight="1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</row>
    <row r="994" ht="15.75" customHeight="1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</row>
    <row r="995" ht="15.75" customHeight="1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</row>
    <row r="996" ht="15.75" customHeight="1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</row>
    <row r="997" ht="15.75" customHeight="1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</row>
    <row r="998" ht="15.75" customHeight="1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</row>
    <row r="999" ht="15.75" customHeight="1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</row>
    <row r="1000" ht="15.75" customHeight="1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  <c r="AA1000" s="43"/>
    </row>
  </sheetData>
  <mergeCells count="18">
    <mergeCell ref="T15:U15"/>
    <mergeCell ref="V15:W15"/>
    <mergeCell ref="X15:Y15"/>
    <mergeCell ref="Z15:AA15"/>
    <mergeCell ref="B12:F12"/>
    <mergeCell ref="B38:F38"/>
    <mergeCell ref="B52:F52"/>
    <mergeCell ref="B65:F65"/>
    <mergeCell ref="B82:F82"/>
    <mergeCell ref="B92:F92"/>
    <mergeCell ref="B106:F106"/>
    <mergeCell ref="B2:F2"/>
    <mergeCell ref="J15:K15"/>
    <mergeCell ref="L15:M15"/>
    <mergeCell ref="N15:O15"/>
    <mergeCell ref="P15:Q15"/>
    <mergeCell ref="R15:S15"/>
    <mergeCell ref="H16:I16"/>
  </mergeCells>
  <conditionalFormatting sqref="H17:I30">
    <cfRule type="expression" dxfId="0" priority="1">
      <formula>LEN(TRIM(H17))&gt;0</formula>
    </cfRule>
  </conditionalFormatting>
  <printOptions/>
  <pageMargins bottom="0.3" footer="0.0" header="0.0" left="0.7" right="0.7" top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56.14"/>
    <col customWidth="1" min="3" max="4" width="17.0"/>
    <col customWidth="1" min="5" max="5" width="31.71"/>
    <col customWidth="1" min="6" max="6" width="25.57"/>
    <col customWidth="1" min="7" max="7" width="14.43"/>
    <col customWidth="1" min="8" max="8" width="17.0"/>
    <col customWidth="1" min="9" max="15" width="14.43"/>
    <col customWidth="1" min="16" max="16" width="16.86"/>
    <col customWidth="1" min="17" max="17" width="16.57"/>
    <col customWidth="1" min="18" max="18" width="17.57"/>
    <col customWidth="1" min="19" max="19" width="16.86"/>
    <col customWidth="1" min="20" max="20" width="17.43"/>
    <col customWidth="1" min="21" max="21" width="18.29"/>
    <col customWidth="1" min="22" max="22" width="17.0"/>
    <col customWidth="1" min="23" max="23" width="16.86"/>
    <col customWidth="1" min="24" max="24" width="18.71"/>
    <col customWidth="1" min="25" max="25" width="16.43"/>
  </cols>
  <sheetData>
    <row r="1" ht="14.25" customHeight="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ht="20.25" customHeight="1">
      <c r="A2" s="43"/>
      <c r="B2" s="78" t="s">
        <v>164</v>
      </c>
      <c r="C2" s="45"/>
      <c r="D2" s="45"/>
      <c r="E2" s="45"/>
      <c r="F2" s="46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ht="18.0" customHeight="1">
      <c r="A3" s="43"/>
      <c r="B3" s="47" t="s">
        <v>45</v>
      </c>
      <c r="C3" s="47" t="s">
        <v>46</v>
      </c>
      <c r="D3" s="47" t="s">
        <v>47</v>
      </c>
      <c r="E3" s="47" t="s">
        <v>48</v>
      </c>
      <c r="F3" s="47" t="s">
        <v>49</v>
      </c>
      <c r="G3" s="43"/>
      <c r="H3" s="48" t="s">
        <v>50</v>
      </c>
      <c r="I3" s="49"/>
      <c r="J3" s="79">
        <v>88.0</v>
      </c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ht="15.0" customHeight="1">
      <c r="A4" s="43"/>
      <c r="B4" s="80" t="s">
        <v>165</v>
      </c>
      <c r="C4" s="80" t="s">
        <v>61</v>
      </c>
      <c r="D4" s="80" t="s">
        <v>56</v>
      </c>
      <c r="E4" s="81">
        <v>0.75</v>
      </c>
      <c r="F4" s="81">
        <v>0.33</v>
      </c>
      <c r="G4" s="43"/>
      <c r="H4" s="48" t="s">
        <v>54</v>
      </c>
      <c r="I4" s="49"/>
      <c r="J4" s="49">
        <f>SUM(E7+E14+E28+E46+E55+E105+E117)</f>
        <v>101.81</v>
      </c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 ht="15.0" customHeight="1">
      <c r="A5" s="43"/>
      <c r="B5" s="80" t="s">
        <v>166</v>
      </c>
      <c r="C5" s="80" t="s">
        <v>137</v>
      </c>
      <c r="D5" s="80" t="s">
        <v>52</v>
      </c>
      <c r="E5" s="81">
        <v>0.66</v>
      </c>
      <c r="F5" s="81">
        <v>0.33</v>
      </c>
      <c r="G5" s="43"/>
      <c r="H5" s="48" t="s">
        <v>58</v>
      </c>
      <c r="I5" s="49"/>
      <c r="J5" s="49">
        <f>SUM(F7+F14+F28+F46+F55+F105+F117)</f>
        <v>94</v>
      </c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</row>
    <row r="6" ht="15.0" customHeight="1">
      <c r="A6" s="43"/>
      <c r="B6" s="80" t="s">
        <v>167</v>
      </c>
      <c r="C6" s="80" t="s">
        <v>137</v>
      </c>
      <c r="D6" s="80" t="s">
        <v>52</v>
      </c>
      <c r="E6" s="81">
        <v>1.25</v>
      </c>
      <c r="F6" s="81">
        <v>0.33</v>
      </c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</row>
    <row r="7" ht="15.0" customHeight="1">
      <c r="A7" s="43"/>
      <c r="B7" s="55" t="s">
        <v>38</v>
      </c>
      <c r="C7" s="55"/>
      <c r="D7" s="55"/>
      <c r="E7" s="57">
        <f>SUM(E4:E6)</f>
        <v>2.66</v>
      </c>
      <c r="F7" s="82">
        <v>1.0</v>
      </c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</row>
    <row r="8" ht="12.75" customHeight="1">
      <c r="A8" s="43"/>
      <c r="B8" s="51"/>
      <c r="C8" s="51"/>
      <c r="D8" s="51"/>
      <c r="E8" s="52"/>
      <c r="F8" s="52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</row>
    <row r="9" ht="15.0" customHeight="1">
      <c r="A9" s="43"/>
      <c r="B9" s="51"/>
      <c r="C9" s="51"/>
      <c r="D9" s="51"/>
      <c r="E9" s="52"/>
      <c r="F9" s="52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</row>
    <row r="10" ht="15.0" customHeight="1">
      <c r="A10" s="43"/>
      <c r="B10" s="51"/>
      <c r="C10" s="51"/>
      <c r="D10" s="51"/>
      <c r="E10" s="52"/>
      <c r="F10" s="52"/>
      <c r="G10" s="43"/>
      <c r="H10" s="43" t="s">
        <v>65</v>
      </c>
      <c r="I10" s="58">
        <v>14.0</v>
      </c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</row>
    <row r="11" ht="18.0" customHeight="1">
      <c r="A11" s="43"/>
      <c r="B11" s="78" t="s">
        <v>168</v>
      </c>
      <c r="C11" s="45"/>
      <c r="D11" s="45"/>
      <c r="E11" s="45"/>
      <c r="F11" s="46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</row>
    <row r="12" ht="15.0" customHeight="1">
      <c r="B12" s="47" t="s">
        <v>45</v>
      </c>
      <c r="C12" s="47" t="s">
        <v>46</v>
      </c>
      <c r="D12" s="47" t="s">
        <v>47</v>
      </c>
      <c r="E12" s="47" t="s">
        <v>48</v>
      </c>
      <c r="F12" s="47" t="s">
        <v>49</v>
      </c>
      <c r="G12" s="43"/>
      <c r="H12" s="43"/>
      <c r="I12" s="43"/>
      <c r="J12" s="83" t="s">
        <v>169</v>
      </c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</row>
    <row r="13" ht="15.0" customHeight="1">
      <c r="A13" s="43"/>
      <c r="B13" s="80" t="s">
        <v>170</v>
      </c>
      <c r="C13" s="80" t="s">
        <v>61</v>
      </c>
      <c r="D13" s="80" t="s">
        <v>56</v>
      </c>
      <c r="E13" s="81">
        <v>0.58</v>
      </c>
      <c r="F13" s="81">
        <v>1.0</v>
      </c>
      <c r="G13" s="43"/>
      <c r="H13" s="43"/>
      <c r="I13" s="43"/>
      <c r="J13" s="60" t="s">
        <v>38</v>
      </c>
      <c r="K13" s="61"/>
      <c r="L13" s="84" t="s">
        <v>9</v>
      </c>
      <c r="M13" s="61"/>
      <c r="N13" s="84" t="s">
        <v>10</v>
      </c>
      <c r="O13" s="61"/>
      <c r="P13" s="84" t="s">
        <v>11</v>
      </c>
      <c r="Q13" s="61"/>
      <c r="R13" s="84" t="s">
        <v>13</v>
      </c>
      <c r="S13" s="61"/>
      <c r="T13" s="84" t="s">
        <v>171</v>
      </c>
      <c r="U13" s="61"/>
      <c r="V13" s="84" t="s">
        <v>172</v>
      </c>
      <c r="W13" s="61"/>
      <c r="X13" s="84" t="s">
        <v>173</v>
      </c>
      <c r="Y13" s="61"/>
    </row>
    <row r="14" ht="15.75" customHeight="1">
      <c r="A14" s="54"/>
      <c r="B14" s="55" t="s">
        <v>38</v>
      </c>
      <c r="C14" s="55"/>
      <c r="D14" s="55"/>
      <c r="E14" s="57">
        <f t="shared" ref="E14:F14" si="1">E13</f>
        <v>0.58</v>
      </c>
      <c r="F14" s="57">
        <f t="shared" si="1"/>
        <v>1</v>
      </c>
      <c r="G14" s="43"/>
      <c r="H14" s="63" t="s">
        <v>72</v>
      </c>
      <c r="I14" s="61"/>
      <c r="J14" s="64" t="s">
        <v>73</v>
      </c>
      <c r="K14" s="65" t="s">
        <v>74</v>
      </c>
      <c r="L14" s="64" t="s">
        <v>73</v>
      </c>
      <c r="M14" s="65" t="s">
        <v>74</v>
      </c>
      <c r="N14" s="64" t="s">
        <v>73</v>
      </c>
      <c r="O14" s="65" t="s">
        <v>74</v>
      </c>
      <c r="P14" s="64" t="s">
        <v>73</v>
      </c>
      <c r="Q14" s="65" t="s">
        <v>74</v>
      </c>
      <c r="R14" s="64" t="s">
        <v>73</v>
      </c>
      <c r="S14" s="65" t="s">
        <v>74</v>
      </c>
      <c r="T14" s="64" t="s">
        <v>73</v>
      </c>
      <c r="U14" s="65" t="s">
        <v>74</v>
      </c>
      <c r="V14" s="64" t="s">
        <v>73</v>
      </c>
      <c r="W14" s="65" t="s">
        <v>74</v>
      </c>
      <c r="X14" s="64" t="s">
        <v>73</v>
      </c>
      <c r="Y14" s="65" t="s">
        <v>74</v>
      </c>
    </row>
    <row r="15" ht="15.75" customHeight="1">
      <c r="A15" s="43"/>
      <c r="B15" s="51"/>
      <c r="C15" s="51"/>
      <c r="D15" s="51"/>
      <c r="E15" s="52"/>
      <c r="F15" s="52"/>
      <c r="G15" s="43"/>
      <c r="H15" s="85">
        <v>46091.0</v>
      </c>
      <c r="I15" s="86">
        <v>1.0</v>
      </c>
      <c r="J15" s="58">
        <v>94.0</v>
      </c>
      <c r="K15" s="43">
        <f t="shared" ref="K15:K28" si="2">M15+O15+Q15+S15+U15+W15+Y15</f>
        <v>104.31</v>
      </c>
      <c r="L15" s="87">
        <v>1.0</v>
      </c>
      <c r="M15" s="87">
        <v>2.66</v>
      </c>
      <c r="N15" s="87">
        <v>1.0</v>
      </c>
      <c r="O15" s="87">
        <v>0.58</v>
      </c>
      <c r="P15" s="87">
        <v>10.0</v>
      </c>
      <c r="Q15" s="87">
        <v>6.41</v>
      </c>
      <c r="R15" s="87">
        <v>31.0</v>
      </c>
      <c r="S15" s="87">
        <v>11.5</v>
      </c>
      <c r="T15" s="87">
        <v>25.0</v>
      </c>
      <c r="U15" s="87">
        <v>12.0</v>
      </c>
      <c r="V15" s="87">
        <v>20.0</v>
      </c>
      <c r="W15" s="87">
        <v>56.66</v>
      </c>
      <c r="X15" s="87">
        <v>6.0</v>
      </c>
      <c r="Y15" s="87">
        <v>14.5</v>
      </c>
    </row>
    <row r="16" ht="16.5" customHeight="1">
      <c r="A16" s="43"/>
      <c r="B16" s="51"/>
      <c r="C16" s="51"/>
      <c r="D16" s="51"/>
      <c r="E16" s="52"/>
      <c r="F16" s="52"/>
      <c r="G16" s="43"/>
      <c r="H16" s="85">
        <v>46092.0</v>
      </c>
      <c r="I16" s="86">
        <v>2.0</v>
      </c>
      <c r="J16" s="69">
        <f t="shared" ref="J16:J28" si="3">J15-($J$15/($I$10-1))</f>
        <v>86.76923077</v>
      </c>
      <c r="K16" s="43">
        <f t="shared" si="2"/>
        <v>104.31</v>
      </c>
      <c r="L16" s="69">
        <f t="shared" ref="L16:L28" si="4">$L$15*(1-1/$I$10*I16)</f>
        <v>0.8571428571</v>
      </c>
      <c r="M16" s="87">
        <v>2.66</v>
      </c>
      <c r="N16" s="69">
        <f t="shared" ref="N16:N28" si="5">$N$15*(1-1/$I$10*I16)</f>
        <v>0.8571428571</v>
      </c>
      <c r="O16" s="87">
        <v>0.58</v>
      </c>
      <c r="P16" s="69">
        <f t="shared" ref="P16:P28" si="6">$P$15*(1-1/$I$10*I16)</f>
        <v>8.571428571</v>
      </c>
      <c r="Q16" s="87">
        <v>6.41</v>
      </c>
      <c r="R16" s="69">
        <f t="shared" ref="R16:R28" si="7">$R$15*(1-1/$I$10*I16)</f>
        <v>26.57142857</v>
      </c>
      <c r="S16" s="87">
        <v>11.5</v>
      </c>
      <c r="T16" s="69">
        <f t="shared" ref="T16:T28" si="8">$T$15*(1-1/$I$10*I16)</f>
        <v>21.42857143</v>
      </c>
      <c r="U16" s="87">
        <v>12.0</v>
      </c>
      <c r="V16" s="69">
        <f t="shared" ref="V16:V28" si="9">$V$15*(1-1/$I$10*I16)</f>
        <v>17.14285714</v>
      </c>
      <c r="W16" s="87">
        <v>56.66</v>
      </c>
      <c r="X16" s="69">
        <f t="shared" ref="X16:X28" si="10">$X$15*(1-1/$I$10*I16)</f>
        <v>5.142857143</v>
      </c>
      <c r="Y16" s="87">
        <v>14.5</v>
      </c>
    </row>
    <row r="17" ht="16.5" customHeight="1">
      <c r="A17" s="43"/>
      <c r="B17" s="51"/>
      <c r="C17" s="51"/>
      <c r="D17" s="51"/>
      <c r="E17" s="52"/>
      <c r="F17" s="52"/>
      <c r="G17" s="43"/>
      <c r="H17" s="85">
        <v>46093.0</v>
      </c>
      <c r="I17" s="86">
        <v>3.0</v>
      </c>
      <c r="J17" s="69">
        <f t="shared" si="3"/>
        <v>79.53846154</v>
      </c>
      <c r="K17" s="43">
        <f t="shared" si="2"/>
        <v>104.31</v>
      </c>
      <c r="L17" s="69">
        <f t="shared" si="4"/>
        <v>0.7857142857</v>
      </c>
      <c r="M17" s="87">
        <v>2.66</v>
      </c>
      <c r="N17" s="69">
        <f t="shared" si="5"/>
        <v>0.7857142857</v>
      </c>
      <c r="O17" s="87">
        <v>0.58</v>
      </c>
      <c r="P17" s="69">
        <f t="shared" si="6"/>
        <v>7.857142857</v>
      </c>
      <c r="Q17" s="87">
        <v>6.41</v>
      </c>
      <c r="R17" s="69">
        <f t="shared" si="7"/>
        <v>24.35714286</v>
      </c>
      <c r="S17" s="87">
        <v>11.5</v>
      </c>
      <c r="T17" s="69">
        <f t="shared" si="8"/>
        <v>19.64285714</v>
      </c>
      <c r="U17" s="87">
        <v>12.0</v>
      </c>
      <c r="V17" s="69">
        <f t="shared" si="9"/>
        <v>15.71428571</v>
      </c>
      <c r="W17" s="87">
        <v>56.66</v>
      </c>
      <c r="X17" s="69">
        <f t="shared" si="10"/>
        <v>4.714285714</v>
      </c>
      <c r="Y17" s="87">
        <v>14.5</v>
      </c>
    </row>
    <row r="18" ht="16.5" customHeight="1">
      <c r="A18" s="43"/>
      <c r="B18" s="78" t="s">
        <v>174</v>
      </c>
      <c r="C18" s="45"/>
      <c r="D18" s="45"/>
      <c r="E18" s="45"/>
      <c r="F18" s="46"/>
      <c r="G18" s="43"/>
      <c r="H18" s="85">
        <v>46094.0</v>
      </c>
      <c r="I18" s="86">
        <v>4.0</v>
      </c>
      <c r="J18" s="69">
        <f t="shared" si="3"/>
        <v>72.30769231</v>
      </c>
      <c r="K18" s="43">
        <f t="shared" si="2"/>
        <v>101.98</v>
      </c>
      <c r="L18" s="69">
        <f t="shared" si="4"/>
        <v>0.7142857143</v>
      </c>
      <c r="M18" s="87">
        <v>1.91</v>
      </c>
      <c r="N18" s="69">
        <f t="shared" si="5"/>
        <v>0.7142857143</v>
      </c>
      <c r="O18" s="87">
        <v>0.0</v>
      </c>
      <c r="P18" s="69">
        <f t="shared" si="6"/>
        <v>7.142857143</v>
      </c>
      <c r="Q18" s="87">
        <v>6.41</v>
      </c>
      <c r="R18" s="69">
        <f t="shared" si="7"/>
        <v>22.14285714</v>
      </c>
      <c r="S18" s="87">
        <v>10.5</v>
      </c>
      <c r="T18" s="69">
        <f t="shared" si="8"/>
        <v>17.85714286</v>
      </c>
      <c r="U18" s="87">
        <v>12.0</v>
      </c>
      <c r="V18" s="69">
        <f t="shared" si="9"/>
        <v>14.28571429</v>
      </c>
      <c r="W18" s="87">
        <v>56.66</v>
      </c>
      <c r="X18" s="69">
        <f t="shared" si="10"/>
        <v>4.285714286</v>
      </c>
      <c r="Y18" s="87">
        <v>14.5</v>
      </c>
    </row>
    <row r="19" ht="16.5" customHeight="1">
      <c r="A19" s="43"/>
      <c r="B19" s="47" t="s">
        <v>45</v>
      </c>
      <c r="C19" s="47" t="s">
        <v>46</v>
      </c>
      <c r="D19" s="47" t="s">
        <v>47</v>
      </c>
      <c r="E19" s="47" t="s">
        <v>48</v>
      </c>
      <c r="F19" s="47" t="s">
        <v>49</v>
      </c>
      <c r="G19" s="43"/>
      <c r="H19" s="85">
        <v>46095.0</v>
      </c>
      <c r="I19" s="86">
        <v>5.0</v>
      </c>
      <c r="J19" s="69">
        <f t="shared" si="3"/>
        <v>65.07692308</v>
      </c>
      <c r="K19" s="43">
        <f t="shared" si="2"/>
        <v>97.48</v>
      </c>
      <c r="L19" s="69">
        <f t="shared" si="4"/>
        <v>0.6428571429</v>
      </c>
      <c r="M19" s="87">
        <v>1.91</v>
      </c>
      <c r="N19" s="69">
        <f t="shared" si="5"/>
        <v>0.6428571429</v>
      </c>
      <c r="O19" s="87">
        <v>0.0</v>
      </c>
      <c r="P19" s="69">
        <f t="shared" si="6"/>
        <v>6.428571429</v>
      </c>
      <c r="Q19" s="87">
        <v>4.41</v>
      </c>
      <c r="R19" s="69">
        <f t="shared" si="7"/>
        <v>19.92857143</v>
      </c>
      <c r="S19" s="87">
        <v>8.5</v>
      </c>
      <c r="T19" s="69">
        <f t="shared" si="8"/>
        <v>16.07142857</v>
      </c>
      <c r="U19" s="87">
        <v>12.0</v>
      </c>
      <c r="V19" s="69">
        <f t="shared" si="9"/>
        <v>12.85714286</v>
      </c>
      <c r="W19" s="87">
        <v>56.16</v>
      </c>
      <c r="X19" s="69">
        <f t="shared" si="10"/>
        <v>3.857142857</v>
      </c>
      <c r="Y19" s="87">
        <v>14.5</v>
      </c>
    </row>
    <row r="20" ht="16.5" customHeight="1">
      <c r="A20" s="43"/>
      <c r="B20" s="80" t="s">
        <v>175</v>
      </c>
      <c r="C20" s="80" t="s">
        <v>56</v>
      </c>
      <c r="D20" s="80" t="s">
        <v>61</v>
      </c>
      <c r="E20" s="81">
        <v>0.75</v>
      </c>
      <c r="F20" s="81">
        <v>1.0</v>
      </c>
      <c r="G20" s="43"/>
      <c r="H20" s="85">
        <v>46096.0</v>
      </c>
      <c r="I20" s="86">
        <v>6.0</v>
      </c>
      <c r="J20" s="69">
        <f t="shared" si="3"/>
        <v>57.84615385</v>
      </c>
      <c r="K20" s="43">
        <f t="shared" si="2"/>
        <v>86.57</v>
      </c>
      <c r="L20" s="69">
        <f t="shared" si="4"/>
        <v>0.5714285714</v>
      </c>
      <c r="M20" s="87">
        <v>0.0</v>
      </c>
      <c r="N20" s="69">
        <f t="shared" si="5"/>
        <v>0.5714285714</v>
      </c>
      <c r="O20" s="87">
        <v>0.0</v>
      </c>
      <c r="P20" s="69">
        <f t="shared" si="6"/>
        <v>5.714285714</v>
      </c>
      <c r="Q20" s="87">
        <v>2.91</v>
      </c>
      <c r="R20" s="69">
        <f t="shared" si="7"/>
        <v>17.71428571</v>
      </c>
      <c r="S20" s="87">
        <v>5.5</v>
      </c>
      <c r="T20" s="69">
        <f t="shared" si="8"/>
        <v>14.28571429</v>
      </c>
      <c r="U20" s="87">
        <v>7.5</v>
      </c>
      <c r="V20" s="69">
        <f t="shared" si="9"/>
        <v>11.42857143</v>
      </c>
      <c r="W20" s="87">
        <v>56.16</v>
      </c>
      <c r="X20" s="69">
        <f t="shared" si="10"/>
        <v>3.428571429</v>
      </c>
      <c r="Y20" s="87">
        <v>14.5</v>
      </c>
    </row>
    <row r="21" ht="15.75" customHeight="1">
      <c r="A21" s="43"/>
      <c r="B21" s="80" t="s">
        <v>176</v>
      </c>
      <c r="C21" s="80" t="s">
        <v>61</v>
      </c>
      <c r="D21" s="80" t="s">
        <v>177</v>
      </c>
      <c r="E21" s="81">
        <v>1.0</v>
      </c>
      <c r="F21" s="81">
        <v>2.0</v>
      </c>
      <c r="G21" s="43"/>
      <c r="H21" s="85">
        <v>46097.0</v>
      </c>
      <c r="I21" s="86">
        <v>7.0</v>
      </c>
      <c r="J21" s="69">
        <f t="shared" si="3"/>
        <v>50.61538462</v>
      </c>
      <c r="K21" s="43">
        <f t="shared" si="2"/>
        <v>74.24</v>
      </c>
      <c r="L21" s="69">
        <f t="shared" si="4"/>
        <v>0.5</v>
      </c>
      <c r="M21" s="87">
        <v>0.0</v>
      </c>
      <c r="N21" s="69">
        <f t="shared" si="5"/>
        <v>0.5</v>
      </c>
      <c r="O21" s="87">
        <v>0.0</v>
      </c>
      <c r="P21" s="69">
        <f t="shared" si="6"/>
        <v>5</v>
      </c>
      <c r="Q21" s="87">
        <v>1.58</v>
      </c>
      <c r="R21" s="69">
        <f t="shared" si="7"/>
        <v>15.5</v>
      </c>
      <c r="S21" s="87">
        <v>2.5</v>
      </c>
      <c r="T21" s="69">
        <f t="shared" si="8"/>
        <v>12.5</v>
      </c>
      <c r="U21" s="87">
        <v>2.0</v>
      </c>
      <c r="V21" s="69">
        <f t="shared" si="9"/>
        <v>10</v>
      </c>
      <c r="W21" s="87">
        <v>53.66</v>
      </c>
      <c r="X21" s="69">
        <f t="shared" si="10"/>
        <v>3</v>
      </c>
      <c r="Y21" s="87">
        <v>14.5</v>
      </c>
    </row>
    <row r="22" ht="15.75" customHeight="1">
      <c r="A22" s="43"/>
      <c r="B22" s="80" t="s">
        <v>178</v>
      </c>
      <c r="C22" s="80" t="s">
        <v>68</v>
      </c>
      <c r="D22" s="80" t="s">
        <v>179</v>
      </c>
      <c r="E22" s="81">
        <v>1.5</v>
      </c>
      <c r="F22" s="81">
        <v>2.0</v>
      </c>
      <c r="G22" s="58"/>
      <c r="H22" s="85">
        <v>46098.0</v>
      </c>
      <c r="I22" s="86">
        <v>8.0</v>
      </c>
      <c r="J22" s="69">
        <f t="shared" si="3"/>
        <v>43.38461538</v>
      </c>
      <c r="K22" s="43">
        <f t="shared" si="2"/>
        <v>71.58</v>
      </c>
      <c r="L22" s="69">
        <f t="shared" si="4"/>
        <v>0.4285714286</v>
      </c>
      <c r="M22" s="87">
        <v>0.0</v>
      </c>
      <c r="N22" s="69">
        <f t="shared" si="5"/>
        <v>0.4285714286</v>
      </c>
      <c r="O22" s="87">
        <v>0.0</v>
      </c>
      <c r="P22" s="69">
        <f t="shared" si="6"/>
        <v>4.285714286</v>
      </c>
      <c r="Q22" s="87">
        <v>1.58</v>
      </c>
      <c r="R22" s="69">
        <f t="shared" si="7"/>
        <v>13.28571429</v>
      </c>
      <c r="S22" s="87">
        <v>2.5</v>
      </c>
      <c r="T22" s="69">
        <f t="shared" si="8"/>
        <v>10.71428571</v>
      </c>
      <c r="U22" s="87">
        <v>2.0</v>
      </c>
      <c r="V22" s="69">
        <f t="shared" si="9"/>
        <v>8.571428571</v>
      </c>
      <c r="W22" s="87">
        <v>51.0</v>
      </c>
      <c r="X22" s="69">
        <f t="shared" si="10"/>
        <v>2.571428571</v>
      </c>
      <c r="Y22" s="87">
        <v>14.5</v>
      </c>
    </row>
    <row r="23" ht="15.75" customHeight="1">
      <c r="A23" s="43"/>
      <c r="B23" s="80" t="s">
        <v>180</v>
      </c>
      <c r="C23" s="80" t="s">
        <v>52</v>
      </c>
      <c r="D23" s="80" t="s">
        <v>137</v>
      </c>
      <c r="E23" s="81">
        <v>1.33</v>
      </c>
      <c r="F23" s="81">
        <v>2.0</v>
      </c>
      <c r="G23" s="58"/>
      <c r="H23" s="85">
        <v>46099.0</v>
      </c>
      <c r="I23" s="86">
        <v>9.0</v>
      </c>
      <c r="J23" s="69">
        <f t="shared" si="3"/>
        <v>36.15384615</v>
      </c>
      <c r="K23" s="43">
        <f t="shared" si="2"/>
        <v>53.58</v>
      </c>
      <c r="L23" s="69">
        <f t="shared" si="4"/>
        <v>0.3571428571</v>
      </c>
      <c r="M23" s="87">
        <v>0.0</v>
      </c>
      <c r="N23" s="69">
        <f t="shared" si="5"/>
        <v>0.3571428571</v>
      </c>
      <c r="O23" s="87">
        <v>0.0</v>
      </c>
      <c r="P23" s="69">
        <f t="shared" si="6"/>
        <v>3.571428571</v>
      </c>
      <c r="Q23" s="87">
        <v>1.58</v>
      </c>
      <c r="R23" s="69">
        <f t="shared" si="7"/>
        <v>11.07142857</v>
      </c>
      <c r="S23" s="87">
        <v>2.5</v>
      </c>
      <c r="T23" s="69">
        <f t="shared" si="8"/>
        <v>8.928571429</v>
      </c>
      <c r="U23" s="87">
        <v>2.0</v>
      </c>
      <c r="V23" s="69">
        <f t="shared" si="9"/>
        <v>7.142857143</v>
      </c>
      <c r="W23" s="87">
        <v>39.5</v>
      </c>
      <c r="X23" s="69">
        <f t="shared" si="10"/>
        <v>2.142857143</v>
      </c>
      <c r="Y23" s="87">
        <v>8.0</v>
      </c>
    </row>
    <row r="24" ht="15.75" customHeight="1">
      <c r="A24" s="43"/>
      <c r="B24" s="80" t="s">
        <v>181</v>
      </c>
      <c r="C24" s="80" t="s">
        <v>137</v>
      </c>
      <c r="D24" s="80" t="s">
        <v>68</v>
      </c>
      <c r="E24" s="81">
        <v>1.0</v>
      </c>
      <c r="F24" s="81">
        <v>1.5</v>
      </c>
      <c r="G24" s="58"/>
      <c r="H24" s="85">
        <v>46100.0</v>
      </c>
      <c r="I24" s="86">
        <v>10.0</v>
      </c>
      <c r="J24" s="69">
        <f t="shared" si="3"/>
        <v>28.92307692</v>
      </c>
      <c r="K24" s="43">
        <f t="shared" si="2"/>
        <v>47.08</v>
      </c>
      <c r="L24" s="69">
        <f t="shared" si="4"/>
        <v>0.2857142857</v>
      </c>
      <c r="M24" s="87">
        <v>0.0</v>
      </c>
      <c r="N24" s="69">
        <f t="shared" si="5"/>
        <v>0.2857142857</v>
      </c>
      <c r="O24" s="87">
        <v>0.0</v>
      </c>
      <c r="P24" s="69">
        <f t="shared" si="6"/>
        <v>2.857142857</v>
      </c>
      <c r="Q24" s="87">
        <v>1.33</v>
      </c>
      <c r="R24" s="69">
        <f t="shared" si="7"/>
        <v>8.857142857</v>
      </c>
      <c r="S24" s="87">
        <v>2.5</v>
      </c>
      <c r="T24" s="69">
        <f t="shared" si="8"/>
        <v>7.142857143</v>
      </c>
      <c r="U24" s="87">
        <v>2.0</v>
      </c>
      <c r="V24" s="69">
        <f t="shared" si="9"/>
        <v>5.714285714</v>
      </c>
      <c r="W24" s="87">
        <v>33.25</v>
      </c>
      <c r="X24" s="69">
        <f t="shared" si="10"/>
        <v>1.714285714</v>
      </c>
      <c r="Y24" s="87">
        <v>8.0</v>
      </c>
    </row>
    <row r="25" ht="15.75" customHeight="1">
      <c r="A25" s="43"/>
      <c r="B25" s="80" t="s">
        <v>182</v>
      </c>
      <c r="C25" s="80" t="s">
        <v>56</v>
      </c>
      <c r="D25" s="80" t="s">
        <v>61</v>
      </c>
      <c r="E25" s="81">
        <v>0.25</v>
      </c>
      <c r="F25" s="81">
        <v>0.5</v>
      </c>
      <c r="G25" s="58"/>
      <c r="H25" s="85">
        <v>46101.0</v>
      </c>
      <c r="I25" s="86">
        <v>11.0</v>
      </c>
      <c r="J25" s="69">
        <f t="shared" si="3"/>
        <v>21.69230769</v>
      </c>
      <c r="K25" s="43">
        <f t="shared" si="2"/>
        <v>37.08</v>
      </c>
      <c r="L25" s="69">
        <f t="shared" si="4"/>
        <v>0.2142857143</v>
      </c>
      <c r="M25" s="87">
        <v>0.0</v>
      </c>
      <c r="N25" s="69">
        <f t="shared" si="5"/>
        <v>0.2142857143</v>
      </c>
      <c r="O25" s="87">
        <v>0.0</v>
      </c>
      <c r="P25" s="69">
        <f t="shared" si="6"/>
        <v>2.142857143</v>
      </c>
      <c r="Q25" s="87">
        <v>1.33</v>
      </c>
      <c r="R25" s="69">
        <f t="shared" si="7"/>
        <v>6.642857143</v>
      </c>
      <c r="S25" s="87">
        <v>2.5</v>
      </c>
      <c r="T25" s="69">
        <f t="shared" si="8"/>
        <v>5.357142857</v>
      </c>
      <c r="U25" s="87">
        <v>2.0</v>
      </c>
      <c r="V25" s="69">
        <f t="shared" si="9"/>
        <v>4.285714286</v>
      </c>
      <c r="W25" s="87">
        <v>23.25</v>
      </c>
      <c r="X25" s="69">
        <f t="shared" si="10"/>
        <v>1.285714286</v>
      </c>
      <c r="Y25" s="87">
        <v>8.0</v>
      </c>
    </row>
    <row r="26" ht="15.75" customHeight="1">
      <c r="A26" s="43"/>
      <c r="B26" s="80" t="s">
        <v>183</v>
      </c>
      <c r="C26" s="80" t="s">
        <v>56</v>
      </c>
      <c r="D26" s="80" t="s">
        <v>61</v>
      </c>
      <c r="E26" s="81">
        <v>0.25</v>
      </c>
      <c r="F26" s="81">
        <v>0.5</v>
      </c>
      <c r="G26" s="58"/>
      <c r="H26" s="85">
        <v>46102.0</v>
      </c>
      <c r="I26" s="86">
        <v>12.0</v>
      </c>
      <c r="J26" s="69">
        <f t="shared" si="3"/>
        <v>14.46153846</v>
      </c>
      <c r="K26" s="43">
        <f t="shared" si="2"/>
        <v>30.75</v>
      </c>
      <c r="L26" s="69">
        <f t="shared" si="4"/>
        <v>0.1428571429</v>
      </c>
      <c r="M26" s="87">
        <v>0.0</v>
      </c>
      <c r="N26" s="69">
        <f t="shared" si="5"/>
        <v>0.1428571429</v>
      </c>
      <c r="O26" s="87">
        <v>0.0</v>
      </c>
      <c r="P26" s="69">
        <f t="shared" si="6"/>
        <v>1.428571429</v>
      </c>
      <c r="Q26" s="87">
        <v>0.0</v>
      </c>
      <c r="R26" s="69">
        <f t="shared" si="7"/>
        <v>4.428571429</v>
      </c>
      <c r="S26" s="87">
        <v>2.5</v>
      </c>
      <c r="T26" s="69">
        <f t="shared" si="8"/>
        <v>3.571428571</v>
      </c>
      <c r="U26" s="87">
        <v>2.0</v>
      </c>
      <c r="V26" s="69">
        <f t="shared" si="9"/>
        <v>2.857142857</v>
      </c>
      <c r="W26" s="87">
        <v>18.25</v>
      </c>
      <c r="X26" s="69">
        <f t="shared" si="10"/>
        <v>0.8571428571</v>
      </c>
      <c r="Y26" s="87">
        <v>8.0</v>
      </c>
    </row>
    <row r="27" ht="15.75" customHeight="1">
      <c r="A27" s="43"/>
      <c r="B27" s="80" t="s">
        <v>184</v>
      </c>
      <c r="C27" s="80" t="s">
        <v>179</v>
      </c>
      <c r="D27" s="80" t="s">
        <v>61</v>
      </c>
      <c r="E27" s="81">
        <v>0.33</v>
      </c>
      <c r="F27" s="81">
        <v>0.5</v>
      </c>
      <c r="G27" s="58"/>
      <c r="H27" s="85">
        <v>46103.0</v>
      </c>
      <c r="I27" s="86">
        <v>13.0</v>
      </c>
      <c r="J27" s="69">
        <f t="shared" si="3"/>
        <v>7.230769231</v>
      </c>
      <c r="K27" s="43">
        <f t="shared" si="2"/>
        <v>24.25</v>
      </c>
      <c r="L27" s="69">
        <f t="shared" si="4"/>
        <v>0.07142857143</v>
      </c>
      <c r="M27" s="87">
        <v>0.0</v>
      </c>
      <c r="N27" s="69">
        <f t="shared" si="5"/>
        <v>0.07142857143</v>
      </c>
      <c r="O27" s="87">
        <v>0.0</v>
      </c>
      <c r="P27" s="69">
        <f t="shared" si="6"/>
        <v>0.7142857143</v>
      </c>
      <c r="Q27" s="87">
        <v>0.0</v>
      </c>
      <c r="R27" s="69">
        <f t="shared" si="7"/>
        <v>2.214285714</v>
      </c>
      <c r="S27" s="87">
        <v>2.5</v>
      </c>
      <c r="T27" s="69">
        <f t="shared" si="8"/>
        <v>1.785714286</v>
      </c>
      <c r="U27" s="87">
        <v>2.0</v>
      </c>
      <c r="V27" s="69">
        <f t="shared" si="9"/>
        <v>1.428571429</v>
      </c>
      <c r="W27" s="87">
        <v>11.75</v>
      </c>
      <c r="X27" s="69">
        <f t="shared" si="10"/>
        <v>0.4285714286</v>
      </c>
      <c r="Y27" s="87">
        <v>8.0</v>
      </c>
    </row>
    <row r="28" ht="15.75" customHeight="1">
      <c r="A28" s="43"/>
      <c r="B28" s="55" t="s">
        <v>38</v>
      </c>
      <c r="C28" s="55"/>
      <c r="D28" s="55"/>
      <c r="E28" s="57">
        <f t="shared" ref="E28:F28" si="11">SUM(E20:E27)</f>
        <v>6.41</v>
      </c>
      <c r="F28" s="57">
        <f t="shared" si="11"/>
        <v>10</v>
      </c>
      <c r="G28" s="58"/>
      <c r="H28" s="85">
        <v>46104.0</v>
      </c>
      <c r="I28" s="86">
        <v>14.0</v>
      </c>
      <c r="J28" s="69">
        <f t="shared" si="3"/>
        <v>0</v>
      </c>
      <c r="K28" s="43">
        <f t="shared" si="2"/>
        <v>2.5</v>
      </c>
      <c r="L28" s="69">
        <f t="shared" si="4"/>
        <v>0</v>
      </c>
      <c r="M28" s="87">
        <v>0.0</v>
      </c>
      <c r="N28" s="69">
        <f t="shared" si="5"/>
        <v>0</v>
      </c>
      <c r="O28" s="87">
        <v>0.0</v>
      </c>
      <c r="P28" s="69">
        <f t="shared" si="6"/>
        <v>0</v>
      </c>
      <c r="Q28" s="87">
        <v>0.0</v>
      </c>
      <c r="R28" s="69">
        <f t="shared" si="7"/>
        <v>0</v>
      </c>
      <c r="S28" s="87">
        <v>0.0</v>
      </c>
      <c r="T28" s="69">
        <f t="shared" si="8"/>
        <v>0</v>
      </c>
      <c r="U28" s="87">
        <v>0.0</v>
      </c>
      <c r="V28" s="69">
        <f t="shared" si="9"/>
        <v>0</v>
      </c>
      <c r="W28" s="87">
        <v>2.5</v>
      </c>
      <c r="X28" s="69">
        <f t="shared" si="10"/>
        <v>0</v>
      </c>
      <c r="Y28" s="87">
        <v>0.0</v>
      </c>
    </row>
    <row r="29" ht="15.75" customHeight="1">
      <c r="A29" s="43"/>
      <c r="B29" s="51"/>
      <c r="C29" s="51"/>
      <c r="D29" s="51"/>
      <c r="E29" s="52"/>
      <c r="F29" s="52"/>
      <c r="G29" s="43"/>
      <c r="H29" s="88"/>
      <c r="I29" s="86"/>
      <c r="J29" s="43"/>
      <c r="K29" s="43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43"/>
      <c r="Y29" s="43"/>
    </row>
    <row r="30" ht="15.75" customHeight="1">
      <c r="A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58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</row>
    <row r="33" ht="15.75" customHeight="1">
      <c r="A33" s="43"/>
      <c r="B33" s="78" t="s">
        <v>185</v>
      </c>
      <c r="C33" s="45"/>
      <c r="D33" s="45"/>
      <c r="E33" s="45"/>
      <c r="F33" s="46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</row>
    <row r="34" ht="15.75" customHeight="1">
      <c r="A34" s="43"/>
      <c r="B34" s="47" t="s">
        <v>45</v>
      </c>
      <c r="C34" s="47" t="s">
        <v>46</v>
      </c>
      <c r="D34" s="47" t="s">
        <v>47</v>
      </c>
      <c r="E34" s="47" t="s">
        <v>48</v>
      </c>
      <c r="F34" s="47" t="s">
        <v>49</v>
      </c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</row>
    <row r="35" ht="15.75" customHeight="1">
      <c r="A35" s="43"/>
      <c r="B35" s="80" t="s">
        <v>186</v>
      </c>
      <c r="C35" s="80" t="s">
        <v>56</v>
      </c>
      <c r="D35" s="80" t="s">
        <v>61</v>
      </c>
      <c r="E35" s="81">
        <v>1.0</v>
      </c>
      <c r="F35" s="81">
        <v>4.0</v>
      </c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</row>
    <row r="36" ht="15.75" customHeight="1">
      <c r="A36" s="43"/>
      <c r="B36" s="80" t="s">
        <v>187</v>
      </c>
      <c r="C36" s="80" t="s">
        <v>57</v>
      </c>
      <c r="D36" s="80" t="s">
        <v>53</v>
      </c>
      <c r="E36" s="81">
        <v>2.0</v>
      </c>
      <c r="F36" s="81">
        <v>8.0</v>
      </c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</row>
    <row r="37" ht="15.75" customHeight="1">
      <c r="A37" s="54"/>
      <c r="B37" s="80" t="s">
        <v>188</v>
      </c>
      <c r="C37" s="80" t="s">
        <v>57</v>
      </c>
      <c r="D37" s="80" t="s">
        <v>53</v>
      </c>
      <c r="E37" s="81">
        <v>2.0</v>
      </c>
      <c r="F37" s="81">
        <v>4.0</v>
      </c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</row>
    <row r="38" ht="15.75" customHeight="1">
      <c r="A38" s="43"/>
      <c r="B38" s="80" t="s">
        <v>189</v>
      </c>
      <c r="C38" s="80" t="s">
        <v>56</v>
      </c>
      <c r="D38" s="80" t="s">
        <v>61</v>
      </c>
      <c r="E38" s="81">
        <v>0.5</v>
      </c>
      <c r="F38" s="81">
        <v>2.0</v>
      </c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</row>
    <row r="39" ht="15.75" customHeight="1">
      <c r="A39" s="43"/>
      <c r="B39" s="80" t="s">
        <v>190</v>
      </c>
      <c r="C39" s="80" t="s">
        <v>61</v>
      </c>
      <c r="D39" s="80" t="s">
        <v>56</v>
      </c>
      <c r="E39" s="81">
        <v>1.5</v>
      </c>
      <c r="F39" s="81">
        <v>4.0</v>
      </c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</row>
    <row r="40" ht="15.75" customHeight="1">
      <c r="A40" s="43"/>
      <c r="B40" s="80" t="s">
        <v>191</v>
      </c>
      <c r="C40" s="80" t="s">
        <v>56</v>
      </c>
      <c r="D40" s="80" t="s">
        <v>61</v>
      </c>
      <c r="E40" s="81">
        <v>1.0</v>
      </c>
      <c r="F40" s="81">
        <v>1.0</v>
      </c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</row>
    <row r="41" ht="15.75" customHeight="1">
      <c r="A41" s="43"/>
      <c r="B41" s="80" t="s">
        <v>192</v>
      </c>
      <c r="C41" s="80" t="s">
        <v>61</v>
      </c>
      <c r="D41" s="80" t="s">
        <v>56</v>
      </c>
      <c r="E41" s="81">
        <v>1.0</v>
      </c>
      <c r="F41" s="81">
        <v>1.5</v>
      </c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</row>
    <row r="42" ht="15.75" customHeight="1">
      <c r="A42" s="43"/>
      <c r="B42" s="80" t="s">
        <v>193</v>
      </c>
      <c r="C42" s="80" t="s">
        <v>52</v>
      </c>
      <c r="D42" s="80" t="s">
        <v>56</v>
      </c>
      <c r="E42" s="81">
        <v>1.0</v>
      </c>
      <c r="F42" s="81">
        <v>2.0</v>
      </c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</row>
    <row r="43" ht="15.75" customHeight="1">
      <c r="A43" s="43"/>
      <c r="B43" s="80" t="s">
        <v>194</v>
      </c>
      <c r="C43" s="80" t="s">
        <v>52</v>
      </c>
      <c r="D43" s="80" t="s">
        <v>56</v>
      </c>
      <c r="E43" s="81">
        <v>0.25</v>
      </c>
      <c r="F43" s="81">
        <v>2.0</v>
      </c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</row>
    <row r="44" ht="15.75" customHeight="1">
      <c r="A44" s="43"/>
      <c r="B44" s="80" t="s">
        <v>195</v>
      </c>
      <c r="C44" s="80" t="s">
        <v>179</v>
      </c>
      <c r="D44" s="80" t="s">
        <v>61</v>
      </c>
      <c r="E44" s="81">
        <v>1.0</v>
      </c>
      <c r="F44" s="81">
        <v>0.5</v>
      </c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</row>
    <row r="45" ht="15.75" customHeight="1">
      <c r="A45" s="43"/>
      <c r="B45" s="80" t="s">
        <v>196</v>
      </c>
      <c r="C45" s="80" t="s">
        <v>56</v>
      </c>
      <c r="D45" s="80" t="s">
        <v>52</v>
      </c>
      <c r="E45" s="81">
        <v>0.25</v>
      </c>
      <c r="F45" s="81">
        <v>2.0</v>
      </c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</row>
    <row r="46" ht="15.75" customHeight="1">
      <c r="A46" s="43"/>
      <c r="B46" s="55" t="s">
        <v>38</v>
      </c>
      <c r="C46" s="55"/>
      <c r="D46" s="55"/>
      <c r="E46" s="57">
        <f t="shared" ref="E46:F46" si="12">SUM(E35:E45)</f>
        <v>11.5</v>
      </c>
      <c r="F46" s="57">
        <f t="shared" si="12"/>
        <v>31</v>
      </c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</row>
    <row r="48" ht="15.75" customHeight="1">
      <c r="A48" s="43"/>
      <c r="B48" s="78" t="s">
        <v>171</v>
      </c>
      <c r="C48" s="45"/>
      <c r="D48" s="45"/>
      <c r="E48" s="45"/>
      <c r="F48" s="46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</row>
    <row r="49" ht="15.75" customHeight="1">
      <c r="A49" s="43"/>
      <c r="B49" s="47" t="s">
        <v>45</v>
      </c>
      <c r="C49" s="47" t="s">
        <v>46</v>
      </c>
      <c r="D49" s="47" t="s">
        <v>47</v>
      </c>
      <c r="E49" s="47" t="s">
        <v>48</v>
      </c>
      <c r="F49" s="47" t="s">
        <v>49</v>
      </c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</row>
    <row r="50" ht="15.75" customHeight="1">
      <c r="A50" s="43"/>
      <c r="B50" s="80" t="s">
        <v>197</v>
      </c>
      <c r="C50" s="80" t="s">
        <v>179</v>
      </c>
      <c r="D50" s="80" t="s">
        <v>68</v>
      </c>
      <c r="E50" s="81">
        <v>0.5</v>
      </c>
      <c r="F50" s="81">
        <v>2.0</v>
      </c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</row>
    <row r="51" ht="18.0" customHeight="1">
      <c r="A51" s="54"/>
      <c r="B51" s="80" t="s">
        <v>198</v>
      </c>
      <c r="C51" s="80" t="s">
        <v>69</v>
      </c>
      <c r="D51" s="80" t="s">
        <v>199</v>
      </c>
      <c r="E51" s="81">
        <v>4.0</v>
      </c>
      <c r="F51" s="81">
        <v>8.0</v>
      </c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</row>
    <row r="52" ht="15.75" customHeight="1">
      <c r="A52" s="43"/>
      <c r="B52" s="80" t="s">
        <v>200</v>
      </c>
      <c r="C52" s="80" t="s">
        <v>69</v>
      </c>
      <c r="D52" s="80" t="s">
        <v>199</v>
      </c>
      <c r="E52" s="81">
        <v>2.5</v>
      </c>
      <c r="F52" s="81">
        <v>6.0</v>
      </c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</row>
    <row r="53" ht="15.75" customHeight="1">
      <c r="A53" s="43"/>
      <c r="B53" s="80" t="s">
        <v>201</v>
      </c>
      <c r="C53" s="80" t="s">
        <v>68</v>
      </c>
      <c r="D53" s="80" t="s">
        <v>69</v>
      </c>
      <c r="E53" s="81">
        <v>3.0</v>
      </c>
      <c r="F53" s="81">
        <v>6.0</v>
      </c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</row>
    <row r="54" ht="15.75" customHeight="1">
      <c r="A54" s="43"/>
      <c r="B54" s="80" t="s">
        <v>202</v>
      </c>
      <c r="C54" s="80" t="s">
        <v>68</v>
      </c>
      <c r="D54" s="80" t="s">
        <v>69</v>
      </c>
      <c r="E54" s="81">
        <v>2.0</v>
      </c>
      <c r="F54" s="81">
        <v>3.0</v>
      </c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</row>
    <row r="55" ht="15.75" customHeight="1">
      <c r="A55" s="43"/>
      <c r="B55" s="55" t="s">
        <v>38</v>
      </c>
      <c r="C55" s="55"/>
      <c r="D55" s="55"/>
      <c r="E55" s="57">
        <f t="shared" ref="E55:F55" si="13">SUM(E50:E54)</f>
        <v>12</v>
      </c>
      <c r="F55" s="57">
        <f t="shared" si="13"/>
        <v>25</v>
      </c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</row>
    <row r="56" ht="15.75" customHeight="1">
      <c r="A56" s="43"/>
      <c r="B56" s="80"/>
      <c r="C56" s="51"/>
      <c r="D56" s="51"/>
      <c r="E56" s="52"/>
      <c r="F56" s="81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</row>
    <row r="57" ht="18.0" customHeight="1">
      <c r="A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</row>
    <row r="58" ht="15.75" customHeight="1">
      <c r="A58" s="43"/>
      <c r="B58" s="51"/>
      <c r="C58" s="51"/>
      <c r="D58" s="51"/>
      <c r="E58" s="52"/>
      <c r="F58" s="52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 ht="15.75" customHeight="1">
      <c r="A59" s="43"/>
      <c r="B59" s="51"/>
      <c r="C59" s="51"/>
      <c r="D59" s="51"/>
      <c r="E59" s="52"/>
      <c r="F59" s="52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</row>
    <row r="60" ht="15.75" customHeight="1">
      <c r="A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ht="18.0" customHeight="1">
      <c r="A63" s="54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ht="15.75" customHeight="1">
      <c r="A65" s="43"/>
      <c r="B65" s="78" t="s">
        <v>172</v>
      </c>
      <c r="C65" s="45"/>
      <c r="D65" s="45"/>
      <c r="E65" s="45"/>
      <c r="F65" s="46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ht="15.75" customHeight="1">
      <c r="A66" s="43"/>
      <c r="B66" s="47" t="s">
        <v>45</v>
      </c>
      <c r="C66" s="47" t="s">
        <v>46</v>
      </c>
      <c r="D66" s="47" t="s">
        <v>47</v>
      </c>
      <c r="E66" s="47" t="s">
        <v>48</v>
      </c>
      <c r="F66" s="47" t="s">
        <v>49</v>
      </c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ht="18.0" customHeight="1">
      <c r="A67" s="43"/>
      <c r="B67" s="80" t="s">
        <v>203</v>
      </c>
      <c r="C67" s="80" t="s">
        <v>69</v>
      </c>
      <c r="D67" s="80" t="s">
        <v>199</v>
      </c>
      <c r="E67" s="81">
        <v>0.5</v>
      </c>
      <c r="F67" s="81">
        <v>0.25</v>
      </c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ht="15.75" customHeight="1">
      <c r="A68" s="43"/>
      <c r="B68" s="80" t="s">
        <v>204</v>
      </c>
      <c r="C68" s="80" t="s">
        <v>69</v>
      </c>
      <c r="D68" s="80" t="s">
        <v>199</v>
      </c>
      <c r="E68" s="81">
        <v>3.0</v>
      </c>
      <c r="F68" s="81">
        <v>1.0</v>
      </c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ht="15.75" customHeight="1">
      <c r="A69" s="43"/>
      <c r="B69" s="80" t="s">
        <v>205</v>
      </c>
      <c r="C69" s="80" t="s">
        <v>68</v>
      </c>
      <c r="D69" s="80" t="s">
        <v>137</v>
      </c>
      <c r="E69" s="81">
        <v>4.0</v>
      </c>
      <c r="F69" s="81">
        <v>1.0</v>
      </c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ht="15.75" customHeight="1">
      <c r="A70" s="43"/>
      <c r="B70" s="80" t="s">
        <v>206</v>
      </c>
      <c r="C70" s="80" t="s">
        <v>199</v>
      </c>
      <c r="D70" s="80" t="s">
        <v>207</v>
      </c>
      <c r="E70" s="81">
        <v>4.0</v>
      </c>
      <c r="F70" s="81">
        <v>1.0</v>
      </c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ht="15.75" customHeight="1">
      <c r="A71" s="43"/>
      <c r="B71" s="80" t="s">
        <v>208</v>
      </c>
      <c r="C71" s="80" t="s">
        <v>68</v>
      </c>
      <c r="D71" s="80" t="s">
        <v>209</v>
      </c>
      <c r="E71" s="81">
        <v>2.0</v>
      </c>
      <c r="F71" s="81">
        <v>0.5</v>
      </c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ht="15.75" customHeight="1">
      <c r="A72" s="43"/>
      <c r="B72" s="80" t="s">
        <v>210</v>
      </c>
      <c r="C72" s="80" t="s">
        <v>53</v>
      </c>
      <c r="D72" s="80" t="s">
        <v>69</v>
      </c>
      <c r="E72" s="81">
        <v>2.0</v>
      </c>
      <c r="F72" s="81">
        <v>0.5</v>
      </c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ht="15.75" customHeight="1">
      <c r="A73" s="43"/>
      <c r="B73" s="80" t="s">
        <v>211</v>
      </c>
      <c r="C73" s="80" t="s">
        <v>137</v>
      </c>
      <c r="D73" s="80" t="s">
        <v>52</v>
      </c>
      <c r="E73" s="81">
        <v>2.66</v>
      </c>
      <c r="F73" s="81">
        <v>0.75</v>
      </c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ht="18.0" customHeight="1">
      <c r="A74" s="54"/>
      <c r="B74" s="80" t="s">
        <v>212</v>
      </c>
      <c r="C74" s="80" t="s">
        <v>199</v>
      </c>
      <c r="D74" s="80" t="s">
        <v>69</v>
      </c>
      <c r="E74" s="81">
        <v>0.25</v>
      </c>
      <c r="F74" s="81">
        <v>0.25</v>
      </c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ht="15.75" customHeight="1">
      <c r="A75" s="43"/>
      <c r="B75" s="80" t="s">
        <v>213</v>
      </c>
      <c r="C75" s="80" t="s">
        <v>199</v>
      </c>
      <c r="D75" s="80" t="s">
        <v>69</v>
      </c>
      <c r="E75" s="81">
        <v>2.25</v>
      </c>
      <c r="F75" s="81">
        <v>0.5</v>
      </c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ht="15.75" customHeight="1">
      <c r="A76" s="43"/>
      <c r="B76" s="80" t="s">
        <v>214</v>
      </c>
      <c r="C76" s="80" t="s">
        <v>199</v>
      </c>
      <c r="D76" s="80" t="s">
        <v>57</v>
      </c>
      <c r="E76" s="81">
        <v>4.0</v>
      </c>
      <c r="F76" s="81">
        <v>1.0</v>
      </c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ht="15.75" customHeight="1">
      <c r="A77" s="43"/>
      <c r="B77" s="80" t="s">
        <v>215</v>
      </c>
      <c r="C77" s="80" t="s">
        <v>216</v>
      </c>
      <c r="D77" s="80"/>
      <c r="E77" s="81">
        <v>0.0</v>
      </c>
      <c r="F77" s="81">
        <v>0.75</v>
      </c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ht="15.75" customHeight="1">
      <c r="A78" s="43"/>
      <c r="B78" s="80" t="s">
        <v>217</v>
      </c>
      <c r="C78" s="80" t="s">
        <v>57</v>
      </c>
      <c r="D78" s="80" t="s">
        <v>199</v>
      </c>
      <c r="E78" s="81">
        <v>2.0</v>
      </c>
      <c r="F78" s="81">
        <v>0.5</v>
      </c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ht="15.75" customHeight="1">
      <c r="A79" s="43"/>
      <c r="B79" s="80" t="s">
        <v>218</v>
      </c>
      <c r="C79" s="80" t="s">
        <v>199</v>
      </c>
      <c r="D79" s="80" t="s">
        <v>57</v>
      </c>
      <c r="E79" s="81">
        <v>2.0</v>
      </c>
      <c r="F79" s="81">
        <v>0.5</v>
      </c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ht="15.75" customHeight="1">
      <c r="A80" s="43"/>
      <c r="B80" s="80" t="s">
        <v>219</v>
      </c>
      <c r="C80" s="80" t="s">
        <v>199</v>
      </c>
      <c r="D80" s="80" t="s">
        <v>57</v>
      </c>
      <c r="E80" s="81">
        <v>1.5</v>
      </c>
      <c r="F80" s="81">
        <v>0.5</v>
      </c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ht="18.0" customHeight="1">
      <c r="A81" s="43"/>
      <c r="B81" s="80" t="s">
        <v>220</v>
      </c>
      <c r="C81" s="80" t="s">
        <v>199</v>
      </c>
      <c r="D81" s="80" t="s">
        <v>57</v>
      </c>
      <c r="E81" s="81">
        <v>0.25</v>
      </c>
      <c r="F81" s="81">
        <v>0.25</v>
      </c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ht="15.75" customHeight="1">
      <c r="A82" s="43"/>
      <c r="B82" s="80" t="s">
        <v>221</v>
      </c>
      <c r="C82" s="80" t="s">
        <v>57</v>
      </c>
      <c r="D82" s="80" t="s">
        <v>199</v>
      </c>
      <c r="E82" s="81">
        <v>1.0</v>
      </c>
      <c r="F82" s="81">
        <v>0.25</v>
      </c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ht="15.75" customHeight="1">
      <c r="A83" s="43"/>
      <c r="B83" s="80" t="s">
        <v>222</v>
      </c>
      <c r="C83" s="80" t="s">
        <v>57</v>
      </c>
      <c r="D83" s="80" t="s">
        <v>199</v>
      </c>
      <c r="E83" s="81">
        <v>2.0</v>
      </c>
      <c r="F83" s="81">
        <v>0.5</v>
      </c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ht="15.75" customHeight="1">
      <c r="A84" s="43"/>
      <c r="B84" s="80" t="s">
        <v>223</v>
      </c>
      <c r="C84" s="80" t="s">
        <v>216</v>
      </c>
      <c r="D84" s="80" t="s">
        <v>216</v>
      </c>
      <c r="E84" s="81">
        <v>0.0</v>
      </c>
      <c r="F84" s="81">
        <v>0.5</v>
      </c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ht="15.75" customHeight="1">
      <c r="A85" s="43"/>
      <c r="B85" s="80" t="s">
        <v>224</v>
      </c>
      <c r="C85" s="80" t="s">
        <v>69</v>
      </c>
      <c r="D85" s="80" t="s">
        <v>53</v>
      </c>
      <c r="E85" s="81">
        <v>2.5</v>
      </c>
      <c r="F85" s="81">
        <v>0.75</v>
      </c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ht="15.75" customHeight="1">
      <c r="A86" s="43"/>
      <c r="B86" s="80" t="s">
        <v>225</v>
      </c>
      <c r="C86" s="80" t="s">
        <v>56</v>
      </c>
      <c r="D86" s="80" t="s">
        <v>52</v>
      </c>
      <c r="E86" s="81">
        <v>3.0</v>
      </c>
      <c r="F86" s="81">
        <v>1.0</v>
      </c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</row>
    <row r="87" ht="15.75" customHeight="1">
      <c r="A87" s="54"/>
      <c r="B87" s="80" t="s">
        <v>226</v>
      </c>
      <c r="C87" s="80" t="s">
        <v>56</v>
      </c>
      <c r="D87" s="80" t="s">
        <v>52</v>
      </c>
      <c r="E87" s="81">
        <v>2.0</v>
      </c>
      <c r="F87" s="81">
        <v>0.5</v>
      </c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</row>
    <row r="88" ht="15.75" customHeight="1">
      <c r="A88" s="43"/>
      <c r="B88" s="80" t="s">
        <v>227</v>
      </c>
      <c r="C88" s="80" t="s">
        <v>56</v>
      </c>
      <c r="D88" s="80" t="s">
        <v>52</v>
      </c>
      <c r="E88" s="81">
        <v>1.0</v>
      </c>
      <c r="F88" s="81">
        <v>0.5</v>
      </c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</row>
    <row r="89" ht="15.75" customHeight="1">
      <c r="A89" s="43"/>
      <c r="B89" s="80" t="s">
        <v>228</v>
      </c>
      <c r="C89" s="80" t="s">
        <v>52</v>
      </c>
      <c r="D89" s="80" t="s">
        <v>56</v>
      </c>
      <c r="E89" s="81">
        <v>3.0</v>
      </c>
      <c r="F89" s="81">
        <v>1.0</v>
      </c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</row>
    <row r="90" ht="15.75" customHeight="1">
      <c r="A90" s="43"/>
      <c r="B90" s="80" t="s">
        <v>229</v>
      </c>
      <c r="C90" s="80" t="s">
        <v>52</v>
      </c>
      <c r="D90" s="80" t="s">
        <v>56</v>
      </c>
      <c r="E90" s="81">
        <v>0.5</v>
      </c>
      <c r="F90" s="81">
        <v>0.25</v>
      </c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</row>
    <row r="91" ht="15.75" customHeight="1">
      <c r="A91" s="43"/>
      <c r="B91" s="80" t="s">
        <v>230</v>
      </c>
      <c r="C91" s="80" t="s">
        <v>56</v>
      </c>
      <c r="D91" s="80" t="s">
        <v>52</v>
      </c>
      <c r="E91" s="81">
        <v>1.5</v>
      </c>
      <c r="F91" s="81">
        <v>0.25</v>
      </c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</row>
    <row r="92" ht="15.75" customHeight="1">
      <c r="A92" s="43"/>
      <c r="B92" s="80" t="s">
        <v>231</v>
      </c>
      <c r="C92" s="80" t="s">
        <v>179</v>
      </c>
      <c r="D92" s="80" t="s">
        <v>61</v>
      </c>
      <c r="E92" s="81">
        <v>0.5</v>
      </c>
      <c r="F92" s="81">
        <v>0.5</v>
      </c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</row>
    <row r="93" ht="15.75" customHeight="1">
      <c r="A93" s="43"/>
      <c r="B93" s="80" t="s">
        <v>232</v>
      </c>
      <c r="C93" s="80" t="s">
        <v>56</v>
      </c>
      <c r="D93" s="80" t="s">
        <v>52</v>
      </c>
      <c r="E93" s="81">
        <v>0.5</v>
      </c>
      <c r="F93" s="81">
        <v>0.25</v>
      </c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</row>
    <row r="94" ht="15.75" customHeight="1">
      <c r="A94" s="43"/>
      <c r="B94" s="80" t="s">
        <v>233</v>
      </c>
      <c r="C94" s="80" t="s">
        <v>234</v>
      </c>
      <c r="D94" s="80" t="s">
        <v>235</v>
      </c>
      <c r="E94" s="81">
        <v>0.5</v>
      </c>
      <c r="F94" s="81">
        <v>0.5</v>
      </c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</row>
    <row r="95" ht="15.75" customHeight="1">
      <c r="A95" s="43"/>
      <c r="B95" s="80" t="s">
        <v>236</v>
      </c>
      <c r="C95" s="80" t="s">
        <v>216</v>
      </c>
      <c r="D95" s="80" t="s">
        <v>216</v>
      </c>
      <c r="E95" s="81">
        <v>0.0</v>
      </c>
      <c r="F95" s="81">
        <v>1.0</v>
      </c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</row>
    <row r="96" ht="15.75" customHeight="1">
      <c r="A96" s="43"/>
      <c r="B96" s="80" t="s">
        <v>237</v>
      </c>
      <c r="C96" s="80" t="s">
        <v>52</v>
      </c>
      <c r="D96" s="80" t="s">
        <v>56</v>
      </c>
      <c r="E96" s="81">
        <v>1.0</v>
      </c>
      <c r="F96" s="81">
        <v>0.5</v>
      </c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</row>
    <row r="97" ht="15.75" customHeight="1">
      <c r="A97" s="43"/>
      <c r="B97" s="80" t="s">
        <v>238</v>
      </c>
      <c r="C97" s="80" t="s">
        <v>56</v>
      </c>
      <c r="D97" s="80" t="s">
        <v>52</v>
      </c>
      <c r="E97" s="81">
        <v>0.5</v>
      </c>
      <c r="F97" s="81">
        <v>0.5</v>
      </c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</row>
    <row r="98" ht="15.75" customHeight="1">
      <c r="A98" s="43"/>
      <c r="B98" s="80" t="s">
        <v>239</v>
      </c>
      <c r="C98" s="80" t="s">
        <v>69</v>
      </c>
      <c r="D98" s="80" t="s">
        <v>53</v>
      </c>
      <c r="E98" s="81">
        <v>1.0</v>
      </c>
      <c r="F98" s="81">
        <v>0.25</v>
      </c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</row>
    <row r="99" ht="15.75" customHeight="1">
      <c r="A99" s="43"/>
      <c r="B99" s="80" t="s">
        <v>240</v>
      </c>
      <c r="C99" s="80" t="s">
        <v>53</v>
      </c>
      <c r="D99" s="80" t="s">
        <v>69</v>
      </c>
      <c r="E99" s="81">
        <v>2.0</v>
      </c>
      <c r="F99" s="81">
        <v>0.5</v>
      </c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</row>
    <row r="100" ht="15.75" customHeight="1">
      <c r="A100" s="43"/>
      <c r="B100" s="80" t="s">
        <v>241</v>
      </c>
      <c r="C100" s="80" t="s">
        <v>61</v>
      </c>
      <c r="D100" s="80" t="s">
        <v>179</v>
      </c>
      <c r="E100" s="81">
        <v>0.5</v>
      </c>
      <c r="F100" s="81">
        <v>0.25</v>
      </c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</row>
    <row r="101" ht="15.75" customHeight="1">
      <c r="A101" s="43"/>
      <c r="B101" s="80" t="s">
        <v>242</v>
      </c>
      <c r="C101" s="80" t="s">
        <v>61</v>
      </c>
      <c r="D101" s="80" t="s">
        <v>179</v>
      </c>
      <c r="E101" s="81">
        <v>0.25</v>
      </c>
      <c r="F101" s="81">
        <v>0.25</v>
      </c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</row>
    <row r="102" ht="15.75" customHeight="1">
      <c r="A102" s="43"/>
      <c r="B102" s="80" t="s">
        <v>243</v>
      </c>
      <c r="C102" s="80" t="s">
        <v>61</v>
      </c>
      <c r="D102" s="80" t="s">
        <v>179</v>
      </c>
      <c r="E102" s="81">
        <v>0.25</v>
      </c>
      <c r="F102" s="81">
        <v>0.25</v>
      </c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</row>
    <row r="103" ht="15.75" customHeight="1">
      <c r="A103" s="43"/>
      <c r="B103" s="80" t="s">
        <v>244</v>
      </c>
      <c r="C103" s="80" t="s">
        <v>216</v>
      </c>
      <c r="D103" s="51"/>
      <c r="E103" s="81">
        <v>0.0</v>
      </c>
      <c r="F103" s="81">
        <v>0.25</v>
      </c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</row>
    <row r="104" ht="15.75" customHeight="1">
      <c r="A104" s="43"/>
      <c r="B104" s="80" t="s">
        <v>245</v>
      </c>
      <c r="C104" s="80" t="s">
        <v>246</v>
      </c>
      <c r="D104" s="80" t="s">
        <v>68</v>
      </c>
      <c r="E104" s="81">
        <v>0.25</v>
      </c>
      <c r="F104" s="81">
        <v>0.25</v>
      </c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</row>
    <row r="105" ht="14.25" customHeight="1">
      <c r="A105" s="43"/>
      <c r="B105" s="55" t="s">
        <v>38</v>
      </c>
      <c r="C105" s="55"/>
      <c r="D105" s="55"/>
      <c r="E105" s="57">
        <f t="shared" ref="E105:F105" si="14">SUM(E67:E104)</f>
        <v>54.16</v>
      </c>
      <c r="F105" s="57">
        <f t="shared" si="14"/>
        <v>20</v>
      </c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</row>
    <row r="106" ht="14.25" customHeight="1">
      <c r="A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</row>
    <row r="107" ht="14.25" customHeight="1">
      <c r="A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</row>
    <row r="108" ht="14.25" customHeight="1">
      <c r="A108" s="43"/>
      <c r="B108" s="80"/>
      <c r="C108" s="51"/>
      <c r="D108" s="51"/>
      <c r="E108" s="52"/>
      <c r="F108" s="52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</row>
    <row r="109" ht="14.25" customHeight="1">
      <c r="A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</row>
    <row r="110" ht="14.2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</row>
    <row r="111" ht="14.25" customHeight="1">
      <c r="A111" s="43"/>
      <c r="B111" s="78" t="s">
        <v>247</v>
      </c>
      <c r="C111" s="45"/>
      <c r="D111" s="45"/>
      <c r="E111" s="45"/>
      <c r="F111" s="46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</row>
    <row r="112" ht="14.25" customHeight="1">
      <c r="A112" s="43"/>
      <c r="B112" s="47" t="s">
        <v>45</v>
      </c>
      <c r="C112" s="47" t="s">
        <v>46</v>
      </c>
      <c r="D112" s="47" t="s">
        <v>47</v>
      </c>
      <c r="E112" s="47" t="s">
        <v>48</v>
      </c>
      <c r="F112" s="47" t="s">
        <v>49</v>
      </c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</row>
    <row r="113" ht="14.25" customHeight="1">
      <c r="A113" s="43"/>
      <c r="B113" s="80" t="s">
        <v>248</v>
      </c>
      <c r="C113" s="80" t="s">
        <v>137</v>
      </c>
      <c r="D113" s="80" t="s">
        <v>68</v>
      </c>
      <c r="E113" s="81">
        <v>2.5</v>
      </c>
      <c r="F113" s="81">
        <v>1.0</v>
      </c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</row>
    <row r="114" ht="14.25" customHeight="1">
      <c r="A114" s="43"/>
      <c r="B114" s="80" t="s">
        <v>249</v>
      </c>
      <c r="C114" s="80" t="s">
        <v>52</v>
      </c>
      <c r="D114" s="80" t="s">
        <v>56</v>
      </c>
      <c r="E114" s="81">
        <v>4.0</v>
      </c>
      <c r="F114" s="81">
        <v>5.0</v>
      </c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</row>
    <row r="115" ht="14.25" customHeight="1">
      <c r="A115" s="43"/>
      <c r="B115" s="80" t="s">
        <v>249</v>
      </c>
      <c r="C115" s="80" t="s">
        <v>179</v>
      </c>
      <c r="D115" s="80" t="s">
        <v>61</v>
      </c>
      <c r="E115" s="81">
        <v>6.0</v>
      </c>
      <c r="F115" s="81">
        <v>0.0</v>
      </c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</row>
    <row r="116" ht="14.25" customHeight="1">
      <c r="A116" s="43"/>
      <c r="B116" s="80" t="s">
        <v>250</v>
      </c>
      <c r="C116" s="80" t="s">
        <v>179</v>
      </c>
      <c r="D116" s="80" t="s">
        <v>61</v>
      </c>
      <c r="E116" s="81">
        <v>2.0</v>
      </c>
      <c r="F116" s="81">
        <v>0.0</v>
      </c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</row>
    <row r="117" ht="14.25" customHeight="1">
      <c r="A117" s="43"/>
      <c r="B117" s="55" t="s">
        <v>38</v>
      </c>
      <c r="C117" s="55"/>
      <c r="D117" s="55"/>
      <c r="E117" s="57">
        <f>SUM(E113:E116)</f>
        <v>14.5</v>
      </c>
      <c r="F117" s="82">
        <v>6.0</v>
      </c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</row>
    <row r="118" ht="14.25" customHeight="1">
      <c r="A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</row>
    <row r="119" ht="14.25" customHeight="1">
      <c r="A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</row>
    <row r="120" ht="14.25" customHeight="1">
      <c r="A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</row>
    <row r="121" ht="14.25" customHeight="1">
      <c r="A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</row>
    <row r="122" ht="14.25" customHeight="1">
      <c r="A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</row>
    <row r="123" ht="14.25" customHeight="1">
      <c r="A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</row>
    <row r="124" ht="14.25" customHeight="1">
      <c r="A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</row>
    <row r="125" ht="14.25" customHeight="1">
      <c r="A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</row>
    <row r="126" ht="14.25" customHeight="1">
      <c r="A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</row>
    <row r="127" ht="14.25" customHeight="1">
      <c r="A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</row>
    <row r="128" ht="14.25" customHeight="1">
      <c r="A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</row>
    <row r="129" ht="14.25" customHeight="1">
      <c r="A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</row>
    <row r="130" ht="14.2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</row>
    <row r="131" ht="14.2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</row>
    <row r="132" ht="14.2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</row>
    <row r="133" ht="14.2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</row>
    <row r="134" ht="14.2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</row>
    <row r="135" ht="14.2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</row>
    <row r="136" ht="14.2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</row>
    <row r="137" ht="14.2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</row>
    <row r="138" ht="14.2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</row>
    <row r="139" ht="14.2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</row>
    <row r="140" ht="14.2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</row>
    <row r="141" ht="14.2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</row>
    <row r="142" ht="14.2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</row>
    <row r="143" ht="14.2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</row>
    <row r="144" ht="14.2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</row>
    <row r="145" ht="14.2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</row>
    <row r="146" ht="14.2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</row>
    <row r="147" ht="14.2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</row>
    <row r="148" ht="14.2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</row>
    <row r="149" ht="14.2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</row>
    <row r="150" ht="14.2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</row>
    <row r="151" ht="14.2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</row>
    <row r="152" ht="14.2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</row>
    <row r="153" ht="14.2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</row>
    <row r="154" ht="14.2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</row>
    <row r="155" ht="14.2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</row>
    <row r="156" ht="14.2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</row>
    <row r="157" ht="14.2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</row>
    <row r="158" ht="14.2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</row>
    <row r="159" ht="14.2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</row>
    <row r="160" ht="14.2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</row>
    <row r="161" ht="14.2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</row>
    <row r="162" ht="14.2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</row>
    <row r="163" ht="14.2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</row>
    <row r="164" ht="14.2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</row>
    <row r="165" ht="14.2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</row>
    <row r="166" ht="14.2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</row>
    <row r="167" ht="14.2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</row>
    <row r="168" ht="14.2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</row>
    <row r="169" ht="14.2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</row>
    <row r="170" ht="14.2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</row>
    <row r="171" ht="14.2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</row>
    <row r="172" ht="14.2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</row>
    <row r="173" ht="14.2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</row>
    <row r="174" ht="14.2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</row>
    <row r="175" ht="14.2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</row>
    <row r="176" ht="14.2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</row>
    <row r="177" ht="14.2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</row>
    <row r="178" ht="14.2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</row>
    <row r="179" ht="14.2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</row>
    <row r="180" ht="14.2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</row>
    <row r="181" ht="14.2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</row>
    <row r="182" ht="14.2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</row>
    <row r="183" ht="14.2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</row>
    <row r="184" ht="14.2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</row>
    <row r="185" ht="14.2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</row>
    <row r="186" ht="14.2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</row>
    <row r="187" ht="14.2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</row>
    <row r="188" ht="14.2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</row>
    <row r="189" ht="14.2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</row>
    <row r="190" ht="14.2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</row>
    <row r="191" ht="14.2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</row>
    <row r="192" ht="14.2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</row>
    <row r="193" ht="14.2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</row>
    <row r="194" ht="14.2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</row>
    <row r="195" ht="14.2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</row>
    <row r="196" ht="14.2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</row>
    <row r="197" ht="14.2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</row>
    <row r="198" ht="14.2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</row>
    <row r="199" ht="14.2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</row>
    <row r="200" ht="14.2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</row>
    <row r="201" ht="14.2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</row>
    <row r="202" ht="14.2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</row>
    <row r="203" ht="14.2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</row>
    <row r="204" ht="14.2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</row>
    <row r="205" ht="14.2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</row>
    <row r="206" ht="14.2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</row>
    <row r="207" ht="14.2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</row>
    <row r="208" ht="14.2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</row>
    <row r="209" ht="14.2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</row>
    <row r="210" ht="14.2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</row>
    <row r="211" ht="14.2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</row>
    <row r="212" ht="14.2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</row>
    <row r="213" ht="14.2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</row>
    <row r="214" ht="14.2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</row>
    <row r="215" ht="14.2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</row>
    <row r="216" ht="14.2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</row>
    <row r="217" ht="14.2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</row>
    <row r="218" ht="14.2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</row>
    <row r="219" ht="14.2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</row>
    <row r="220" ht="14.2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</row>
    <row r="221" ht="14.2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</row>
    <row r="222" ht="14.2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</row>
    <row r="223" ht="14.2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</row>
    <row r="224" ht="14.2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</row>
    <row r="225" ht="14.2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</row>
    <row r="226" ht="14.2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</row>
    <row r="227" ht="14.2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</row>
    <row r="228" ht="14.2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</row>
    <row r="229" ht="14.2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</row>
    <row r="230" ht="14.2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</row>
    <row r="231" ht="14.2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</row>
    <row r="232" ht="14.2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</row>
    <row r="233" ht="14.2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</row>
    <row r="234" ht="14.2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</row>
    <row r="235" ht="14.2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</row>
    <row r="236" ht="14.2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</row>
    <row r="237" ht="14.2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</row>
    <row r="238" ht="14.2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</row>
    <row r="239" ht="14.2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</row>
    <row r="240" ht="14.2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</row>
    <row r="241" ht="14.2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</row>
    <row r="242" ht="14.2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</row>
    <row r="243" ht="14.2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</row>
    <row r="244" ht="14.2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</row>
    <row r="245" ht="14.2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</row>
    <row r="246" ht="14.2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</row>
    <row r="247" ht="14.2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</row>
    <row r="248" ht="14.2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</row>
    <row r="249" ht="14.2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</row>
    <row r="250" ht="14.2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</row>
    <row r="251" ht="14.2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</row>
    <row r="252" ht="14.2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</row>
    <row r="253" ht="14.2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</row>
    <row r="254" ht="14.2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</row>
    <row r="255" ht="14.2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</row>
    <row r="256" ht="14.2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</row>
    <row r="257" ht="14.2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</row>
    <row r="258" ht="14.2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</row>
    <row r="259" ht="14.2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</row>
    <row r="260" ht="14.2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</row>
    <row r="261" ht="14.25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</row>
    <row r="262" ht="14.2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</row>
    <row r="263" ht="14.25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</row>
    <row r="264" ht="14.25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</row>
    <row r="265" ht="14.25" customHeight="1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</row>
    <row r="266" ht="14.25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</row>
    <row r="267" ht="14.25" customHeight="1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</row>
    <row r="268" ht="14.25" customHeight="1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</row>
    <row r="269" ht="14.25" customHeight="1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</row>
    <row r="270" ht="14.25" customHeight="1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</row>
    <row r="271" ht="14.25" customHeight="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</row>
    <row r="272" ht="14.25" customHeight="1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</row>
    <row r="273" ht="14.25" customHeight="1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</row>
    <row r="274" ht="14.25" customHeight="1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</row>
    <row r="275" ht="14.25" customHeight="1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</row>
    <row r="276" ht="14.25" customHeight="1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</row>
    <row r="277" ht="14.25" customHeight="1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</row>
    <row r="278" ht="14.25" customHeight="1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</row>
    <row r="279" ht="14.25" customHeight="1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</row>
    <row r="280" ht="14.25" customHeight="1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</row>
    <row r="281" ht="14.25" customHeight="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</row>
    <row r="282" ht="14.25" customHeight="1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</row>
    <row r="283" ht="14.25" customHeight="1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</row>
    <row r="284" ht="14.25" customHeight="1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</row>
    <row r="285" ht="14.25" customHeight="1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</row>
    <row r="286" ht="14.25" customHeight="1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</row>
    <row r="287" ht="14.25" customHeight="1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</row>
    <row r="288" ht="14.25" customHeight="1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</row>
    <row r="289" ht="14.25" customHeight="1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</row>
    <row r="290" ht="14.25" customHeight="1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</row>
    <row r="291" ht="14.25" customHeight="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</row>
    <row r="292" ht="14.25" customHeight="1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</row>
    <row r="293" ht="14.25" customHeight="1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</row>
    <row r="294" ht="14.25" customHeight="1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</row>
    <row r="295" ht="14.25" customHeight="1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</row>
    <row r="296" ht="14.25" customHeight="1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</row>
    <row r="297" ht="14.25" customHeight="1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</row>
    <row r="298" ht="14.25" customHeight="1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</row>
    <row r="299" ht="14.25" customHeight="1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</row>
    <row r="300" ht="14.25" customHeight="1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</row>
    <row r="301" ht="14.25" customHeight="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</row>
    <row r="302" ht="14.25" customHeight="1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</row>
    <row r="303" ht="14.25" customHeight="1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</row>
    <row r="304" ht="14.25" customHeight="1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</row>
    <row r="305" ht="14.25" customHeight="1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</row>
    <row r="306" ht="14.25" customHeight="1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</row>
    <row r="307" ht="14.25" customHeight="1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</row>
    <row r="308" ht="14.25" customHeight="1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</row>
    <row r="309" ht="14.25" customHeight="1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</row>
    <row r="310" ht="14.25" customHeight="1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</row>
    <row r="311" ht="14.25" customHeight="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</row>
    <row r="312" ht="14.25" customHeight="1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</row>
    <row r="313" ht="14.25" customHeight="1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</row>
    <row r="314" ht="14.25" customHeight="1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</row>
    <row r="315" ht="14.25" customHeight="1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</row>
    <row r="316" ht="14.25" customHeight="1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</row>
    <row r="317" ht="14.25" customHeight="1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</row>
    <row r="318" ht="14.25" customHeight="1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</row>
    <row r="319" ht="14.25" customHeight="1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</row>
    <row r="320" ht="14.25" customHeight="1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</row>
    <row r="321" ht="14.25" customHeight="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</row>
    <row r="322" ht="14.25" customHeight="1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</row>
    <row r="323" ht="14.25" customHeight="1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</row>
    <row r="324" ht="14.25" customHeight="1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</row>
    <row r="325" ht="14.25" customHeight="1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</row>
    <row r="326" ht="14.25" customHeight="1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</row>
    <row r="327" ht="14.25" customHeight="1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</row>
    <row r="328" ht="14.25" customHeight="1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</row>
    <row r="329" ht="14.25" customHeight="1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</row>
    <row r="330" ht="14.25" customHeight="1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</row>
    <row r="331" ht="14.25" customHeight="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</row>
    <row r="332" ht="14.25" customHeight="1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</row>
    <row r="333" ht="14.25" customHeight="1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</row>
    <row r="334" ht="14.25" customHeight="1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</row>
    <row r="335" ht="14.25" customHeight="1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</row>
    <row r="336" ht="14.25" customHeight="1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</row>
    <row r="337" ht="14.25" customHeight="1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</row>
    <row r="338" ht="14.25" customHeight="1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</row>
    <row r="339" ht="14.25" customHeight="1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</row>
    <row r="340" ht="14.25" customHeight="1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</row>
    <row r="341" ht="14.25" customHeight="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</row>
    <row r="342" ht="14.25" customHeight="1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</row>
    <row r="343" ht="14.25" customHeight="1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</row>
    <row r="344" ht="14.25" customHeight="1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</row>
    <row r="345" ht="14.25" customHeight="1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</row>
    <row r="346" ht="14.25" customHeight="1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</row>
    <row r="347" ht="14.25" customHeight="1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</row>
    <row r="348" ht="14.25" customHeight="1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</row>
    <row r="349" ht="14.25" customHeight="1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</row>
    <row r="350" ht="14.25" customHeight="1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</row>
    <row r="351" ht="14.25" customHeight="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</row>
    <row r="352" ht="14.25" customHeight="1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</row>
    <row r="353" ht="14.25" customHeight="1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</row>
    <row r="354" ht="14.25" customHeight="1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</row>
    <row r="355" ht="14.25" customHeight="1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</row>
    <row r="356" ht="14.25" customHeight="1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</row>
    <row r="357" ht="14.25" customHeight="1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</row>
    <row r="358" ht="14.25" customHeight="1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</row>
    <row r="359" ht="14.25" customHeight="1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</row>
    <row r="360" ht="14.25" customHeight="1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</row>
    <row r="361" ht="14.25" customHeight="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</row>
    <row r="362" ht="14.25" customHeight="1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</row>
    <row r="363" ht="14.25" customHeight="1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</row>
    <row r="364" ht="14.25" customHeight="1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</row>
    <row r="365" ht="14.25" customHeight="1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</row>
    <row r="366" ht="14.25" customHeight="1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</row>
    <row r="367" ht="14.25" customHeight="1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</row>
    <row r="368" ht="14.25" customHeight="1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</row>
    <row r="369" ht="14.25" customHeight="1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</row>
    <row r="370" ht="14.25" customHeight="1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</row>
    <row r="371" ht="14.25" customHeight="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</row>
    <row r="372" ht="14.25" customHeight="1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</row>
    <row r="373" ht="14.25" customHeight="1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</row>
    <row r="374" ht="14.25" customHeight="1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</row>
    <row r="375" ht="14.25" customHeight="1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</row>
    <row r="376" ht="14.25" customHeight="1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</row>
    <row r="377" ht="14.25" customHeight="1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</row>
    <row r="378" ht="14.25" customHeight="1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</row>
    <row r="379" ht="14.25" customHeight="1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</row>
    <row r="380" ht="14.25" customHeight="1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</row>
    <row r="381" ht="14.25" customHeight="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</row>
    <row r="382" ht="14.25" customHeight="1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</row>
    <row r="383" ht="14.25" customHeight="1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</row>
    <row r="384" ht="14.25" customHeight="1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</row>
    <row r="385" ht="14.25" customHeight="1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</row>
    <row r="386" ht="14.25" customHeight="1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</row>
    <row r="387" ht="14.25" customHeight="1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</row>
    <row r="388" ht="14.25" customHeight="1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</row>
    <row r="389" ht="14.25" customHeight="1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</row>
    <row r="390" ht="14.25" customHeight="1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</row>
    <row r="391" ht="14.25" customHeight="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</row>
    <row r="392" ht="14.25" customHeight="1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</row>
    <row r="393" ht="14.25" customHeight="1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</row>
    <row r="394" ht="14.25" customHeight="1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</row>
    <row r="395" ht="14.25" customHeight="1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</row>
    <row r="396" ht="14.25" customHeight="1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</row>
    <row r="397" ht="14.25" customHeight="1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</row>
    <row r="398" ht="14.25" customHeight="1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</row>
    <row r="399" ht="14.25" customHeight="1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</row>
    <row r="400" ht="14.25" customHeight="1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</row>
    <row r="401" ht="14.25" customHeight="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</row>
    <row r="402" ht="14.25" customHeight="1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</row>
    <row r="403" ht="14.25" customHeight="1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</row>
    <row r="404" ht="14.25" customHeight="1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</row>
    <row r="405" ht="14.25" customHeight="1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</row>
    <row r="406" ht="14.25" customHeight="1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</row>
    <row r="407" ht="14.25" customHeight="1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</row>
    <row r="408" ht="14.25" customHeight="1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</row>
    <row r="409" ht="14.25" customHeight="1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</row>
    <row r="410" ht="14.25" customHeight="1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</row>
    <row r="411" ht="14.25" customHeight="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</row>
    <row r="412" ht="14.25" customHeight="1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</row>
    <row r="413" ht="14.25" customHeight="1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</row>
    <row r="414" ht="14.25" customHeight="1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</row>
    <row r="415" ht="14.25" customHeight="1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</row>
    <row r="416" ht="14.25" customHeight="1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</row>
    <row r="417" ht="14.25" customHeight="1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</row>
    <row r="418" ht="14.25" customHeight="1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</row>
    <row r="419" ht="14.25" customHeight="1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</row>
    <row r="420" ht="14.25" customHeight="1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</row>
    <row r="421" ht="14.25" customHeight="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</row>
    <row r="422" ht="14.25" customHeight="1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</row>
    <row r="423" ht="14.25" customHeight="1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</row>
    <row r="424" ht="14.25" customHeight="1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</row>
    <row r="425" ht="14.25" customHeight="1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</row>
    <row r="426" ht="14.25" customHeight="1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</row>
    <row r="427" ht="14.25" customHeight="1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</row>
    <row r="428" ht="14.25" customHeight="1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</row>
    <row r="429" ht="14.25" customHeight="1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</row>
    <row r="430" ht="14.25" customHeight="1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</row>
    <row r="431" ht="14.25" customHeight="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</row>
    <row r="432" ht="14.25" customHeight="1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</row>
    <row r="433" ht="14.25" customHeight="1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</row>
    <row r="434" ht="14.25" customHeight="1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</row>
    <row r="435" ht="14.25" customHeight="1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</row>
    <row r="436" ht="14.25" customHeight="1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</row>
    <row r="437" ht="14.25" customHeight="1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</row>
    <row r="438" ht="14.25" customHeight="1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</row>
    <row r="439" ht="14.25" customHeight="1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</row>
    <row r="440" ht="14.25" customHeight="1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</row>
    <row r="441" ht="14.25" customHeight="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</row>
    <row r="442" ht="14.25" customHeight="1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</row>
    <row r="443" ht="14.25" customHeight="1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</row>
    <row r="444" ht="14.25" customHeight="1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</row>
    <row r="445" ht="14.25" customHeight="1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</row>
    <row r="446" ht="14.25" customHeight="1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</row>
    <row r="447" ht="14.25" customHeight="1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</row>
    <row r="448" ht="14.25" customHeight="1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</row>
    <row r="449" ht="14.25" customHeight="1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</row>
    <row r="450" ht="14.25" customHeight="1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</row>
    <row r="451" ht="14.25" customHeight="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</row>
    <row r="452" ht="14.25" customHeight="1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</row>
    <row r="453" ht="14.25" customHeight="1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</row>
    <row r="454" ht="14.25" customHeight="1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</row>
    <row r="455" ht="14.25" customHeight="1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</row>
    <row r="456" ht="14.25" customHeight="1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</row>
    <row r="457" ht="14.25" customHeight="1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</row>
    <row r="458" ht="14.25" customHeight="1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</row>
    <row r="459" ht="14.25" customHeight="1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</row>
    <row r="460" ht="14.25" customHeight="1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</row>
    <row r="461" ht="14.25" customHeight="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</row>
    <row r="462" ht="14.25" customHeight="1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</row>
    <row r="463" ht="14.25" customHeight="1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</row>
    <row r="464" ht="14.25" customHeight="1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</row>
    <row r="465" ht="14.25" customHeight="1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</row>
    <row r="466" ht="14.25" customHeight="1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</row>
    <row r="467" ht="14.25" customHeight="1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</row>
    <row r="468" ht="14.25" customHeight="1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</row>
    <row r="469" ht="14.25" customHeight="1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</row>
    <row r="470" ht="14.25" customHeight="1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</row>
    <row r="471" ht="14.25" customHeight="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</row>
    <row r="472" ht="14.25" customHeight="1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</row>
    <row r="473" ht="14.25" customHeight="1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</row>
    <row r="474" ht="14.25" customHeight="1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</row>
    <row r="475" ht="14.25" customHeight="1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</row>
    <row r="476" ht="14.25" customHeight="1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</row>
    <row r="477" ht="14.25" customHeight="1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</row>
    <row r="478" ht="14.25" customHeight="1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</row>
    <row r="479" ht="14.25" customHeight="1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</row>
    <row r="480" ht="14.25" customHeight="1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</row>
    <row r="481" ht="14.25" customHeight="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</row>
    <row r="482" ht="14.25" customHeight="1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</row>
    <row r="483" ht="14.25" customHeight="1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</row>
    <row r="484" ht="14.25" customHeight="1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</row>
    <row r="485" ht="14.25" customHeight="1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</row>
    <row r="486" ht="14.25" customHeight="1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</row>
    <row r="487" ht="14.25" customHeight="1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</row>
    <row r="488" ht="14.25" customHeight="1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</row>
    <row r="489" ht="14.25" customHeight="1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</row>
    <row r="490" ht="14.25" customHeight="1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</row>
    <row r="491" ht="14.25" customHeight="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</row>
    <row r="492" ht="14.25" customHeight="1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</row>
    <row r="493" ht="14.25" customHeight="1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</row>
    <row r="494" ht="14.25" customHeight="1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</row>
    <row r="495" ht="14.25" customHeight="1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</row>
    <row r="496" ht="14.25" customHeight="1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</row>
    <row r="497" ht="14.25" customHeight="1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</row>
    <row r="498" ht="14.25" customHeight="1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</row>
    <row r="499" ht="14.25" customHeight="1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</row>
    <row r="500" ht="14.25" customHeight="1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</row>
    <row r="501" ht="14.25" customHeight="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</row>
    <row r="502" ht="14.25" customHeight="1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</row>
    <row r="503" ht="14.25" customHeight="1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</row>
    <row r="504" ht="14.25" customHeight="1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</row>
    <row r="505" ht="14.25" customHeight="1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</row>
    <row r="506" ht="14.25" customHeight="1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</row>
    <row r="507" ht="14.25" customHeight="1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</row>
    <row r="508" ht="14.25" customHeight="1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</row>
    <row r="509" ht="14.25" customHeight="1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</row>
    <row r="510" ht="14.25" customHeight="1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</row>
    <row r="511" ht="14.25" customHeight="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</row>
    <row r="512" ht="14.25" customHeight="1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</row>
    <row r="513" ht="14.25" customHeight="1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</row>
    <row r="514" ht="14.25" customHeight="1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</row>
    <row r="515" ht="14.25" customHeight="1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</row>
    <row r="516" ht="14.25" customHeight="1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</row>
    <row r="517" ht="14.25" customHeight="1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</row>
    <row r="518" ht="14.25" customHeight="1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</row>
    <row r="519" ht="14.25" customHeight="1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</row>
    <row r="520" ht="14.25" customHeight="1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</row>
    <row r="521" ht="14.25" customHeight="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</row>
    <row r="522" ht="14.25" customHeight="1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</row>
    <row r="523" ht="14.25" customHeight="1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</row>
    <row r="524" ht="14.25" customHeight="1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</row>
    <row r="525" ht="14.25" customHeight="1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</row>
    <row r="526" ht="14.25" customHeight="1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</row>
    <row r="527" ht="14.25" customHeight="1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</row>
    <row r="528" ht="14.25" customHeight="1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</row>
    <row r="529" ht="14.25" customHeight="1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</row>
    <row r="530" ht="14.25" customHeight="1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</row>
    <row r="531" ht="14.25" customHeight="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</row>
    <row r="532" ht="14.25" customHeight="1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</row>
    <row r="533" ht="14.25" customHeight="1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</row>
    <row r="534" ht="14.25" customHeight="1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</row>
    <row r="535" ht="14.25" customHeight="1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</row>
    <row r="536" ht="14.25" customHeight="1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</row>
    <row r="537" ht="14.25" customHeight="1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</row>
    <row r="538" ht="14.25" customHeight="1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</row>
    <row r="539" ht="14.25" customHeight="1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</row>
    <row r="540" ht="14.25" customHeight="1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</row>
    <row r="541" ht="14.25" customHeight="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</row>
    <row r="542" ht="14.25" customHeight="1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</row>
    <row r="543" ht="14.25" customHeight="1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</row>
    <row r="544" ht="14.25" customHeight="1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</row>
    <row r="545" ht="14.25" customHeight="1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</row>
    <row r="546" ht="14.25" customHeight="1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</row>
    <row r="547" ht="14.25" customHeight="1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</row>
    <row r="548" ht="14.25" customHeight="1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</row>
    <row r="549" ht="14.25" customHeight="1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</row>
    <row r="550" ht="14.25" customHeight="1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</row>
    <row r="551" ht="14.25" customHeight="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</row>
    <row r="552" ht="14.25" customHeight="1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</row>
    <row r="553" ht="14.25" customHeight="1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</row>
    <row r="554" ht="14.25" customHeight="1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</row>
    <row r="555" ht="14.25" customHeight="1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</row>
    <row r="556" ht="14.25" customHeight="1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</row>
    <row r="557" ht="14.25" customHeight="1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</row>
    <row r="558" ht="14.25" customHeight="1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</row>
    <row r="559" ht="14.25" customHeight="1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</row>
    <row r="560" ht="14.25" customHeight="1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</row>
    <row r="561" ht="14.25" customHeight="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</row>
    <row r="562" ht="14.25" customHeight="1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</row>
    <row r="563" ht="14.25" customHeight="1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</row>
    <row r="564" ht="14.25" customHeight="1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</row>
    <row r="565" ht="14.25" customHeight="1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</row>
    <row r="566" ht="14.25" customHeight="1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</row>
    <row r="567" ht="14.25" customHeight="1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</row>
    <row r="568" ht="14.25" customHeight="1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</row>
    <row r="569" ht="14.25" customHeight="1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</row>
    <row r="570" ht="14.25" customHeight="1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</row>
    <row r="571" ht="14.25" customHeight="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</row>
    <row r="572" ht="14.25" customHeight="1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</row>
    <row r="573" ht="14.25" customHeight="1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</row>
    <row r="574" ht="14.25" customHeight="1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</row>
    <row r="575" ht="14.25" customHeight="1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</row>
    <row r="576" ht="14.25" customHeight="1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</row>
    <row r="577" ht="14.25" customHeight="1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</row>
    <row r="578" ht="14.25" customHeight="1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</row>
    <row r="579" ht="14.25" customHeight="1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</row>
    <row r="580" ht="14.25" customHeight="1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</row>
    <row r="581" ht="14.25" customHeight="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</row>
    <row r="582" ht="14.25" customHeight="1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</row>
    <row r="583" ht="14.25" customHeight="1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</row>
    <row r="584" ht="14.25" customHeight="1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</row>
    <row r="585" ht="14.25" customHeight="1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</row>
    <row r="586" ht="14.25" customHeight="1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</row>
    <row r="587" ht="14.25" customHeight="1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</row>
    <row r="588" ht="14.25" customHeight="1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</row>
    <row r="589" ht="14.25" customHeight="1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</row>
    <row r="590" ht="14.25" customHeight="1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</row>
    <row r="591" ht="14.25" customHeight="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</row>
    <row r="592" ht="14.25" customHeight="1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</row>
    <row r="593" ht="14.25" customHeight="1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</row>
    <row r="594" ht="14.25" customHeight="1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</row>
    <row r="595" ht="14.25" customHeight="1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</row>
    <row r="596" ht="14.25" customHeight="1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</row>
    <row r="597" ht="14.25" customHeight="1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</row>
    <row r="598" ht="14.25" customHeight="1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</row>
    <row r="599" ht="14.25" customHeight="1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</row>
    <row r="600" ht="14.25" customHeight="1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</row>
    <row r="601" ht="14.25" customHeight="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</row>
    <row r="602" ht="14.25" customHeight="1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</row>
    <row r="603" ht="14.25" customHeight="1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</row>
    <row r="604" ht="14.25" customHeight="1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</row>
    <row r="605" ht="14.25" customHeight="1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</row>
    <row r="606" ht="14.25" customHeight="1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</row>
    <row r="607" ht="14.25" customHeight="1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</row>
    <row r="608" ht="14.25" customHeight="1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</row>
    <row r="609" ht="14.25" customHeight="1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</row>
    <row r="610" ht="14.25" customHeight="1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</row>
    <row r="611" ht="14.25" customHeight="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</row>
    <row r="612" ht="14.25" customHeight="1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</row>
    <row r="613" ht="14.25" customHeight="1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</row>
    <row r="614" ht="14.25" customHeight="1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</row>
    <row r="615" ht="14.25" customHeight="1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</row>
    <row r="616" ht="14.25" customHeight="1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</row>
    <row r="617" ht="14.25" customHeight="1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</row>
    <row r="618" ht="14.25" customHeight="1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</row>
    <row r="619" ht="14.25" customHeight="1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</row>
    <row r="620" ht="14.25" customHeight="1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</row>
    <row r="621" ht="14.25" customHeight="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</row>
    <row r="622" ht="14.25" customHeight="1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</row>
    <row r="623" ht="14.25" customHeight="1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</row>
    <row r="624" ht="14.25" customHeight="1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</row>
    <row r="625" ht="14.25" customHeight="1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</row>
    <row r="626" ht="14.25" customHeight="1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</row>
    <row r="627" ht="14.25" customHeight="1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</row>
    <row r="628" ht="14.25" customHeight="1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</row>
    <row r="629" ht="14.25" customHeight="1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</row>
    <row r="630" ht="14.25" customHeight="1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</row>
    <row r="631" ht="14.25" customHeight="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</row>
    <row r="632" ht="14.25" customHeight="1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</row>
    <row r="633" ht="14.25" customHeight="1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</row>
    <row r="634" ht="14.25" customHeight="1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</row>
    <row r="635" ht="14.25" customHeight="1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</row>
    <row r="636" ht="14.25" customHeight="1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</row>
    <row r="637" ht="14.25" customHeight="1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</row>
    <row r="638" ht="14.25" customHeight="1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</row>
    <row r="639" ht="14.25" customHeight="1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</row>
    <row r="640" ht="14.25" customHeight="1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</row>
    <row r="641" ht="14.25" customHeight="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</row>
    <row r="642" ht="14.25" customHeight="1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</row>
    <row r="643" ht="14.25" customHeight="1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</row>
    <row r="644" ht="14.25" customHeight="1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</row>
    <row r="645" ht="14.25" customHeight="1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</row>
    <row r="646" ht="14.25" customHeight="1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</row>
    <row r="647" ht="14.25" customHeight="1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</row>
    <row r="648" ht="14.25" customHeight="1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</row>
    <row r="649" ht="14.25" customHeight="1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</row>
    <row r="650" ht="14.25" customHeight="1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</row>
    <row r="651" ht="14.25" customHeight="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</row>
    <row r="652" ht="14.25" customHeight="1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</row>
    <row r="653" ht="14.25" customHeight="1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</row>
    <row r="654" ht="14.25" customHeight="1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</row>
    <row r="655" ht="14.25" customHeight="1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</row>
    <row r="656" ht="14.25" customHeight="1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</row>
    <row r="657" ht="14.25" customHeight="1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</row>
    <row r="658" ht="14.25" customHeight="1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</row>
    <row r="659" ht="14.25" customHeight="1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</row>
    <row r="660" ht="14.25" customHeight="1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</row>
    <row r="661" ht="14.25" customHeight="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</row>
    <row r="662" ht="14.25" customHeight="1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</row>
    <row r="663" ht="14.25" customHeight="1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</row>
    <row r="664" ht="14.25" customHeight="1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</row>
    <row r="665" ht="14.25" customHeight="1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</row>
    <row r="666" ht="14.25" customHeight="1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</row>
    <row r="667" ht="14.25" customHeight="1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</row>
    <row r="668" ht="14.25" customHeight="1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</row>
    <row r="669" ht="14.25" customHeight="1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</row>
    <row r="670" ht="14.25" customHeight="1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</row>
    <row r="671" ht="14.25" customHeight="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</row>
    <row r="672" ht="14.25" customHeight="1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</row>
    <row r="673" ht="14.25" customHeight="1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</row>
    <row r="674" ht="14.25" customHeight="1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</row>
    <row r="675" ht="14.25" customHeight="1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</row>
    <row r="676" ht="14.25" customHeight="1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</row>
    <row r="677" ht="14.25" customHeight="1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</row>
    <row r="678" ht="14.25" customHeight="1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</row>
    <row r="679" ht="14.25" customHeight="1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</row>
    <row r="680" ht="14.25" customHeight="1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</row>
    <row r="681" ht="14.25" customHeight="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</row>
    <row r="682" ht="14.25" customHeight="1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</row>
    <row r="683" ht="14.25" customHeight="1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</row>
    <row r="684" ht="14.25" customHeight="1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</row>
    <row r="685" ht="14.25" customHeight="1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</row>
    <row r="686" ht="14.25" customHeight="1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</row>
    <row r="687" ht="14.25" customHeight="1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</row>
    <row r="688" ht="14.25" customHeight="1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</row>
    <row r="689" ht="14.25" customHeight="1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</row>
    <row r="690" ht="14.25" customHeight="1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</row>
    <row r="691" ht="14.25" customHeight="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</row>
    <row r="692" ht="14.25" customHeight="1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</row>
    <row r="693" ht="14.25" customHeight="1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</row>
    <row r="694" ht="14.25" customHeight="1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</row>
    <row r="695" ht="14.25" customHeight="1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</row>
    <row r="696" ht="14.25" customHeight="1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</row>
    <row r="697" ht="14.25" customHeight="1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</row>
    <row r="698" ht="14.25" customHeight="1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</row>
    <row r="699" ht="14.25" customHeight="1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</row>
    <row r="700" ht="14.25" customHeight="1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</row>
    <row r="701" ht="14.25" customHeight="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</row>
    <row r="702" ht="14.25" customHeight="1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</row>
    <row r="703" ht="14.25" customHeight="1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</row>
    <row r="704" ht="14.25" customHeight="1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</row>
    <row r="705" ht="14.25" customHeight="1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</row>
    <row r="706" ht="14.25" customHeight="1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</row>
    <row r="707" ht="14.25" customHeight="1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</row>
    <row r="708" ht="14.25" customHeight="1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</row>
    <row r="709" ht="14.25" customHeight="1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</row>
    <row r="710" ht="14.25" customHeight="1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</row>
    <row r="711" ht="14.25" customHeight="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</row>
    <row r="712" ht="14.25" customHeight="1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</row>
    <row r="713" ht="14.25" customHeight="1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</row>
    <row r="714" ht="14.25" customHeight="1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</row>
    <row r="715" ht="14.25" customHeight="1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</row>
    <row r="716" ht="14.25" customHeight="1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</row>
    <row r="717" ht="14.25" customHeight="1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</row>
    <row r="718" ht="14.25" customHeight="1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</row>
    <row r="719" ht="14.25" customHeight="1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</row>
    <row r="720" ht="14.25" customHeight="1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</row>
    <row r="721" ht="14.25" customHeight="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</row>
    <row r="722" ht="14.25" customHeight="1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</row>
    <row r="723" ht="14.25" customHeight="1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</row>
    <row r="724" ht="14.25" customHeight="1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</row>
    <row r="725" ht="14.25" customHeight="1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</row>
    <row r="726" ht="14.25" customHeight="1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</row>
    <row r="727" ht="14.25" customHeight="1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</row>
    <row r="728" ht="14.25" customHeight="1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</row>
    <row r="729" ht="14.25" customHeight="1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</row>
    <row r="730" ht="14.25" customHeight="1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</row>
    <row r="731" ht="14.25" customHeight="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</row>
    <row r="732" ht="14.25" customHeight="1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</row>
    <row r="733" ht="14.25" customHeight="1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</row>
    <row r="734" ht="14.25" customHeight="1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</row>
    <row r="735" ht="14.25" customHeight="1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</row>
    <row r="736" ht="14.25" customHeight="1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</row>
    <row r="737" ht="14.25" customHeight="1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</row>
    <row r="738" ht="14.25" customHeight="1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</row>
    <row r="739" ht="14.25" customHeight="1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</row>
    <row r="740" ht="14.25" customHeight="1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</row>
    <row r="741" ht="14.25" customHeight="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</row>
    <row r="742" ht="14.25" customHeight="1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</row>
    <row r="743" ht="14.25" customHeight="1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</row>
    <row r="744" ht="14.25" customHeight="1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</row>
    <row r="745" ht="14.25" customHeight="1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</row>
    <row r="746" ht="14.25" customHeight="1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</row>
    <row r="747" ht="14.25" customHeight="1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</row>
    <row r="748" ht="14.25" customHeight="1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</row>
    <row r="749" ht="14.25" customHeight="1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</row>
    <row r="750" ht="14.25" customHeight="1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</row>
    <row r="751" ht="14.25" customHeight="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</row>
    <row r="752" ht="14.25" customHeight="1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</row>
    <row r="753" ht="14.25" customHeight="1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</row>
    <row r="754" ht="14.25" customHeight="1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</row>
    <row r="755" ht="14.25" customHeight="1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</row>
    <row r="756" ht="14.25" customHeight="1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</row>
    <row r="757" ht="14.25" customHeight="1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</row>
    <row r="758" ht="14.25" customHeight="1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</row>
    <row r="759" ht="14.25" customHeight="1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</row>
    <row r="760" ht="14.25" customHeight="1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</row>
    <row r="761" ht="14.25" customHeight="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</row>
    <row r="762" ht="14.25" customHeight="1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</row>
    <row r="763" ht="14.25" customHeight="1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</row>
    <row r="764" ht="14.25" customHeight="1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</row>
    <row r="765" ht="14.25" customHeight="1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</row>
    <row r="766" ht="14.25" customHeight="1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</row>
    <row r="767" ht="14.25" customHeight="1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</row>
    <row r="768" ht="14.25" customHeight="1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</row>
    <row r="769" ht="14.25" customHeight="1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</row>
    <row r="770" ht="14.25" customHeight="1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</row>
    <row r="771" ht="14.25" customHeight="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</row>
    <row r="772" ht="14.25" customHeight="1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</row>
    <row r="773" ht="14.25" customHeight="1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</row>
    <row r="774" ht="14.25" customHeight="1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</row>
    <row r="775" ht="14.25" customHeight="1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</row>
    <row r="776" ht="14.25" customHeight="1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</row>
    <row r="777" ht="14.25" customHeight="1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</row>
    <row r="778" ht="14.25" customHeight="1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</row>
    <row r="779" ht="14.25" customHeight="1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</row>
    <row r="780" ht="14.25" customHeight="1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</row>
    <row r="781" ht="14.25" customHeight="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</row>
    <row r="782" ht="14.25" customHeight="1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</row>
    <row r="783" ht="14.25" customHeight="1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</row>
    <row r="784" ht="14.25" customHeight="1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</row>
    <row r="785" ht="14.25" customHeight="1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</row>
    <row r="786" ht="14.25" customHeight="1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</row>
    <row r="787" ht="14.25" customHeight="1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</row>
    <row r="788" ht="14.25" customHeight="1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</row>
    <row r="789" ht="14.25" customHeight="1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</row>
    <row r="790" ht="14.25" customHeight="1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</row>
    <row r="791" ht="14.25" customHeight="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</row>
    <row r="792" ht="14.25" customHeight="1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</row>
    <row r="793" ht="14.25" customHeight="1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</row>
    <row r="794" ht="14.25" customHeight="1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</row>
    <row r="795" ht="14.25" customHeight="1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</row>
    <row r="796" ht="14.25" customHeight="1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</row>
    <row r="797" ht="14.25" customHeight="1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</row>
    <row r="798" ht="14.25" customHeight="1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</row>
    <row r="799" ht="14.25" customHeight="1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</row>
    <row r="800" ht="14.25" customHeight="1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</row>
    <row r="801" ht="14.25" customHeight="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</row>
    <row r="802" ht="14.25" customHeight="1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</row>
    <row r="803" ht="14.25" customHeight="1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</row>
    <row r="804" ht="14.25" customHeight="1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</row>
    <row r="805" ht="14.25" customHeight="1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</row>
    <row r="806" ht="14.25" customHeight="1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</row>
    <row r="807" ht="14.25" customHeight="1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</row>
    <row r="808" ht="14.25" customHeight="1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</row>
    <row r="809" ht="14.25" customHeight="1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</row>
    <row r="810" ht="14.25" customHeight="1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</row>
    <row r="811" ht="14.25" customHeight="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</row>
    <row r="812" ht="14.25" customHeight="1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</row>
    <row r="813" ht="14.25" customHeight="1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</row>
    <row r="814" ht="14.25" customHeight="1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</row>
    <row r="815" ht="14.25" customHeight="1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</row>
    <row r="816" ht="14.25" customHeight="1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</row>
    <row r="817" ht="14.25" customHeight="1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</row>
    <row r="818" ht="14.25" customHeight="1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</row>
    <row r="819" ht="14.25" customHeight="1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</row>
    <row r="820" ht="14.25" customHeight="1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</row>
    <row r="821" ht="14.25" customHeight="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</row>
    <row r="822" ht="14.25" customHeight="1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</row>
    <row r="823" ht="14.25" customHeight="1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</row>
    <row r="824" ht="14.25" customHeight="1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</row>
    <row r="825" ht="14.25" customHeight="1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</row>
    <row r="826" ht="14.25" customHeight="1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</row>
    <row r="827" ht="14.25" customHeight="1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</row>
    <row r="828" ht="14.25" customHeight="1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</row>
    <row r="829" ht="14.25" customHeight="1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</row>
    <row r="830" ht="14.25" customHeight="1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</row>
    <row r="831" ht="14.25" customHeight="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</row>
    <row r="832" ht="14.25" customHeight="1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</row>
    <row r="833" ht="14.25" customHeight="1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</row>
    <row r="834" ht="14.25" customHeight="1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</row>
    <row r="835" ht="14.25" customHeight="1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</row>
    <row r="836" ht="14.25" customHeight="1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</row>
    <row r="837" ht="14.25" customHeight="1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</row>
    <row r="838" ht="14.25" customHeight="1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</row>
    <row r="839" ht="14.25" customHeight="1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</row>
    <row r="840" ht="14.25" customHeight="1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</row>
    <row r="841" ht="14.25" customHeight="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</row>
    <row r="842" ht="14.25" customHeight="1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</row>
    <row r="843" ht="14.25" customHeight="1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</row>
    <row r="844" ht="14.25" customHeight="1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</row>
    <row r="845" ht="14.25" customHeight="1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</row>
    <row r="846" ht="14.25" customHeight="1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</row>
    <row r="847" ht="14.25" customHeight="1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</row>
    <row r="848" ht="14.25" customHeight="1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</row>
    <row r="849" ht="14.25" customHeight="1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</row>
    <row r="850" ht="14.25" customHeight="1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</row>
    <row r="851" ht="14.25" customHeight="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</row>
    <row r="852" ht="14.25" customHeight="1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</row>
    <row r="853" ht="14.25" customHeight="1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</row>
    <row r="854" ht="14.25" customHeight="1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</row>
    <row r="855" ht="14.25" customHeight="1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</row>
    <row r="856" ht="14.25" customHeight="1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</row>
    <row r="857" ht="14.25" customHeight="1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</row>
    <row r="858" ht="14.25" customHeight="1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</row>
    <row r="859" ht="14.25" customHeight="1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</row>
    <row r="860" ht="14.25" customHeight="1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</row>
    <row r="861" ht="14.25" customHeight="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</row>
    <row r="862" ht="14.25" customHeight="1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</row>
    <row r="863" ht="14.25" customHeight="1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</row>
    <row r="864" ht="14.25" customHeight="1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</row>
    <row r="865" ht="14.25" customHeight="1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</row>
    <row r="866" ht="14.25" customHeight="1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</row>
    <row r="867" ht="14.25" customHeight="1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</row>
    <row r="868" ht="14.25" customHeight="1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</row>
    <row r="869" ht="14.25" customHeight="1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</row>
    <row r="870" ht="14.25" customHeight="1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</row>
    <row r="871" ht="14.25" customHeight="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</row>
    <row r="872" ht="14.25" customHeight="1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</row>
    <row r="873" ht="14.25" customHeight="1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</row>
    <row r="874" ht="14.25" customHeight="1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</row>
    <row r="875" ht="14.25" customHeight="1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</row>
    <row r="876" ht="14.25" customHeight="1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</row>
    <row r="877" ht="14.25" customHeight="1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</row>
    <row r="878" ht="14.25" customHeight="1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</row>
    <row r="879" ht="14.25" customHeight="1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</row>
    <row r="880" ht="14.25" customHeight="1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</row>
    <row r="881" ht="14.25" customHeight="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</row>
    <row r="882" ht="14.25" customHeight="1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</row>
    <row r="883" ht="14.25" customHeight="1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</row>
    <row r="884" ht="14.25" customHeight="1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</row>
    <row r="885" ht="14.25" customHeight="1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</row>
    <row r="886" ht="14.25" customHeight="1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</row>
    <row r="887" ht="14.25" customHeight="1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</row>
    <row r="888" ht="14.25" customHeight="1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</row>
    <row r="889" ht="14.25" customHeight="1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</row>
    <row r="890" ht="14.25" customHeight="1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</row>
    <row r="891" ht="14.25" customHeight="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</row>
    <row r="892" ht="14.25" customHeight="1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</row>
    <row r="893" ht="14.25" customHeight="1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</row>
    <row r="894" ht="14.25" customHeight="1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</row>
    <row r="895" ht="14.25" customHeight="1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</row>
    <row r="896" ht="14.25" customHeight="1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</row>
    <row r="897" ht="14.25" customHeight="1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</row>
    <row r="898" ht="14.25" customHeight="1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</row>
    <row r="899" ht="14.25" customHeight="1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</row>
    <row r="900" ht="14.25" customHeight="1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</row>
    <row r="901" ht="14.25" customHeight="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</row>
    <row r="902" ht="14.25" customHeight="1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</row>
    <row r="903" ht="14.25" customHeight="1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</row>
    <row r="904" ht="14.25" customHeight="1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</row>
    <row r="905" ht="14.25" customHeight="1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</row>
    <row r="906" ht="14.25" customHeight="1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</row>
    <row r="907" ht="14.25" customHeight="1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</row>
    <row r="908" ht="14.25" customHeight="1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</row>
    <row r="909" ht="14.25" customHeight="1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</row>
    <row r="910" ht="14.25" customHeight="1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</row>
    <row r="911" ht="14.25" customHeight="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</row>
    <row r="912" ht="14.25" customHeight="1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</row>
    <row r="913" ht="14.25" customHeight="1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</row>
    <row r="914" ht="14.25" customHeight="1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</row>
    <row r="915" ht="14.25" customHeight="1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</row>
    <row r="916" ht="14.25" customHeight="1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</row>
    <row r="917" ht="14.25" customHeight="1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</row>
    <row r="918" ht="14.25" customHeight="1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</row>
    <row r="919" ht="14.25" customHeight="1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</row>
    <row r="920" ht="14.25" customHeight="1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</row>
    <row r="921" ht="14.25" customHeight="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</row>
    <row r="922" ht="14.25" customHeight="1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</row>
    <row r="923" ht="14.25" customHeight="1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</row>
    <row r="924" ht="14.25" customHeight="1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</row>
    <row r="925" ht="14.25" customHeight="1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</row>
    <row r="926" ht="14.25" customHeight="1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</row>
    <row r="927" ht="14.25" customHeight="1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</row>
    <row r="928" ht="14.25" customHeight="1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</row>
    <row r="929" ht="14.25" customHeight="1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</row>
    <row r="930" ht="14.25" customHeight="1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</row>
    <row r="931" ht="14.25" customHeight="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</row>
    <row r="932" ht="14.25" customHeight="1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</row>
    <row r="933" ht="14.25" customHeight="1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</row>
    <row r="934" ht="14.25" customHeight="1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</row>
    <row r="935" ht="14.25" customHeight="1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</row>
    <row r="936" ht="14.25" customHeight="1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</row>
    <row r="937" ht="14.25" customHeight="1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</row>
    <row r="938" ht="14.25" customHeight="1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</row>
    <row r="939" ht="14.25" customHeight="1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</row>
    <row r="940" ht="14.25" customHeight="1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</row>
    <row r="941" ht="14.25" customHeight="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</row>
    <row r="942" ht="14.25" customHeight="1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</row>
    <row r="943" ht="14.25" customHeight="1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</row>
    <row r="944" ht="14.25" customHeight="1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</row>
    <row r="945" ht="14.25" customHeight="1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</row>
    <row r="946" ht="14.25" customHeight="1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</row>
    <row r="947" ht="14.25" customHeight="1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</row>
    <row r="948" ht="14.25" customHeight="1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</row>
    <row r="949" ht="14.25" customHeight="1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</row>
    <row r="950" ht="14.25" customHeight="1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</row>
    <row r="951" ht="14.25" customHeight="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</row>
    <row r="952" ht="14.25" customHeight="1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</row>
    <row r="953" ht="14.25" customHeight="1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</row>
    <row r="954" ht="14.25" customHeight="1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</row>
    <row r="955" ht="14.25" customHeight="1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</row>
    <row r="956" ht="14.25" customHeight="1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</row>
    <row r="957" ht="14.25" customHeight="1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</row>
    <row r="958" ht="14.25" customHeight="1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</row>
    <row r="959" ht="14.25" customHeight="1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</row>
    <row r="960" ht="14.25" customHeight="1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</row>
    <row r="961" ht="14.25" customHeight="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</row>
    <row r="962" ht="14.25" customHeight="1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</row>
    <row r="963" ht="14.25" customHeight="1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</row>
    <row r="964" ht="14.25" customHeight="1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</row>
    <row r="965" ht="14.25" customHeight="1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</row>
    <row r="966" ht="14.25" customHeight="1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</row>
    <row r="967" ht="14.25" customHeight="1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</row>
    <row r="968" ht="14.25" customHeight="1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</row>
    <row r="969" ht="14.25" customHeight="1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</row>
    <row r="970" ht="14.25" customHeight="1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</row>
    <row r="971" ht="14.25" customHeight="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</row>
    <row r="972" ht="14.25" customHeight="1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</row>
    <row r="973" ht="14.25" customHeight="1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</row>
    <row r="974" ht="14.25" customHeight="1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</row>
    <row r="975" ht="14.25" customHeight="1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</row>
    <row r="976" ht="14.25" customHeight="1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</row>
    <row r="977" ht="14.25" customHeight="1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</row>
    <row r="978" ht="14.25" customHeight="1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</row>
    <row r="979" ht="14.25" customHeight="1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</row>
    <row r="980" ht="14.25" customHeight="1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</row>
    <row r="981" ht="14.25" customHeight="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</row>
    <row r="982" ht="14.25" customHeight="1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</row>
    <row r="983" ht="14.25" customHeight="1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</row>
    <row r="984" ht="14.25" customHeight="1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</row>
    <row r="985" ht="14.25" customHeight="1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</row>
    <row r="986" ht="14.25" customHeight="1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</row>
    <row r="987" ht="14.25" customHeight="1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</row>
    <row r="988" ht="14.25" customHeight="1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</row>
    <row r="989" ht="14.25" customHeight="1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</row>
    <row r="990" ht="14.25" customHeight="1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</row>
    <row r="991" ht="14.25" customHeight="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</row>
    <row r="992" ht="14.25" customHeight="1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</row>
    <row r="993" ht="14.25" customHeight="1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</row>
    <row r="994" ht="14.25" customHeight="1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</row>
    <row r="995" ht="14.25" customHeight="1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</row>
    <row r="996" ht="14.25" customHeight="1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</row>
    <row r="997" ht="14.25" customHeight="1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</row>
    <row r="998" ht="14.25" customHeight="1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</row>
    <row r="999" ht="14.25" customHeight="1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</row>
    <row r="1000" ht="14.25" customHeight="1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</row>
  </sheetData>
  <mergeCells count="17">
    <mergeCell ref="R13:S13"/>
    <mergeCell ref="T13:U13"/>
    <mergeCell ref="V13:W13"/>
    <mergeCell ref="X13:Y13"/>
    <mergeCell ref="B11:F11"/>
    <mergeCell ref="B18:F18"/>
    <mergeCell ref="B33:F33"/>
    <mergeCell ref="B48:F48"/>
    <mergeCell ref="B65:F65"/>
    <mergeCell ref="B111:F111"/>
    <mergeCell ref="B2:F2"/>
    <mergeCell ref="J12:M12"/>
    <mergeCell ref="J13:K13"/>
    <mergeCell ref="L13:M13"/>
    <mergeCell ref="N13:O13"/>
    <mergeCell ref="P13:Q13"/>
    <mergeCell ref="H14:I14"/>
  </mergeCells>
  <conditionalFormatting sqref="H15:H28 I15:I21">
    <cfRule type="expression" dxfId="0" priority="1">
      <formula>LEN(TRIM(H15))&gt;0</formula>
    </cfRule>
  </conditionalFormatting>
  <conditionalFormatting sqref="H22:I29">
    <cfRule type="expression" dxfId="0" priority="2">
      <formula>LEN(TRIM(H22))&gt;0</formula>
    </cfRule>
  </conditionalFormatting>
  <printOptions/>
  <pageMargins bottom="0.3" footer="0.0" header="0.0" left="0.7" right="0.7" top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53.86"/>
    <col customWidth="1" min="3" max="4" width="17.0"/>
    <col customWidth="1" min="5" max="5" width="31.71"/>
    <col customWidth="1" min="6" max="6" width="25.57"/>
    <col customWidth="1" min="7" max="7" width="14.43"/>
    <col customWidth="1" min="8" max="8" width="17.0"/>
    <col customWidth="1" min="9" max="15" width="14.43"/>
    <col customWidth="1" min="16" max="16" width="16.71"/>
    <col customWidth="1" min="17" max="17" width="17.29"/>
    <col customWidth="1" min="18" max="18" width="16.29"/>
    <col customWidth="1" min="19" max="19" width="17.0"/>
    <col customWidth="1" min="20" max="20" width="15.86"/>
    <col customWidth="1" min="21" max="21" width="15.71"/>
    <col customWidth="1" min="22" max="22" width="15.0"/>
    <col customWidth="1" min="23" max="23" width="15.86"/>
    <col customWidth="1" min="24" max="25" width="8.71"/>
  </cols>
  <sheetData>
    <row r="1" ht="14.25" customHeight="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ht="20.25" customHeight="1">
      <c r="A2" s="43"/>
      <c r="B2" s="78" t="s">
        <v>251</v>
      </c>
      <c r="C2" s="45"/>
      <c r="D2" s="45"/>
      <c r="E2" s="45"/>
      <c r="F2" s="46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ht="18.0" customHeight="1">
      <c r="A3" s="43"/>
      <c r="B3" s="47" t="s">
        <v>45</v>
      </c>
      <c r="C3" s="47" t="s">
        <v>46</v>
      </c>
      <c r="D3" s="47" t="s">
        <v>47</v>
      </c>
      <c r="E3" s="47" t="s">
        <v>48</v>
      </c>
      <c r="F3" s="47" t="s">
        <v>49</v>
      </c>
      <c r="G3" s="43"/>
      <c r="H3" s="48" t="s">
        <v>50</v>
      </c>
      <c r="I3" s="49"/>
      <c r="J3" s="79">
        <v>88.0</v>
      </c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ht="15.0" customHeight="1">
      <c r="A4" s="43"/>
      <c r="B4" s="80" t="s">
        <v>252</v>
      </c>
      <c r="C4" s="80" t="s">
        <v>80</v>
      </c>
      <c r="D4" s="80" t="s">
        <v>80</v>
      </c>
      <c r="E4" s="81">
        <v>0.0</v>
      </c>
      <c r="F4" s="81">
        <v>1.0</v>
      </c>
      <c r="G4" s="43"/>
      <c r="H4" s="48" t="s">
        <v>54</v>
      </c>
      <c r="I4" s="49"/>
      <c r="J4" s="49">
        <f>E13+E28+E39+E66+E76+E101</f>
        <v>94.83</v>
      </c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 ht="15.0" customHeight="1">
      <c r="A5" s="43"/>
      <c r="B5" s="80" t="s">
        <v>253</v>
      </c>
      <c r="C5" s="80" t="s">
        <v>254</v>
      </c>
      <c r="D5" s="80" t="s">
        <v>61</v>
      </c>
      <c r="E5" s="81">
        <v>0.5</v>
      </c>
      <c r="F5" s="81">
        <v>1.0</v>
      </c>
      <c r="G5" s="43"/>
      <c r="H5" s="48" t="s">
        <v>58</v>
      </c>
      <c r="I5" s="49"/>
      <c r="J5" s="49">
        <f>F13+F28+F39+F66+F76+F101</f>
        <v>87</v>
      </c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</row>
    <row r="6" ht="15.0" customHeight="1">
      <c r="A6" s="43"/>
      <c r="B6" s="80" t="s">
        <v>255</v>
      </c>
      <c r="C6" s="80" t="s">
        <v>254</v>
      </c>
      <c r="D6" s="80" t="s">
        <v>61</v>
      </c>
      <c r="E6" s="81">
        <v>0.25</v>
      </c>
      <c r="F6" s="81">
        <v>0.5</v>
      </c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</row>
    <row r="7" ht="15.0" customHeight="1">
      <c r="A7" s="43"/>
      <c r="B7" s="80" t="s">
        <v>256</v>
      </c>
      <c r="C7" s="80" t="s">
        <v>52</v>
      </c>
      <c r="D7" s="80" t="s">
        <v>68</v>
      </c>
      <c r="E7" s="81">
        <v>0.33</v>
      </c>
      <c r="F7" s="81">
        <v>0.5</v>
      </c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</row>
    <row r="8" ht="12.75" customHeight="1">
      <c r="A8" s="43"/>
      <c r="B8" s="80" t="s">
        <v>257</v>
      </c>
      <c r="C8" s="80" t="s">
        <v>61</v>
      </c>
      <c r="D8" s="80" t="s">
        <v>254</v>
      </c>
      <c r="E8" s="81">
        <v>3.0</v>
      </c>
      <c r="F8" s="81">
        <v>1.0</v>
      </c>
      <c r="G8" s="58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</row>
    <row r="9" ht="15.0" customHeight="1">
      <c r="A9" s="43"/>
      <c r="B9" s="80" t="s">
        <v>258</v>
      </c>
      <c r="C9" s="80" t="s">
        <v>254</v>
      </c>
      <c r="D9" s="80" t="s">
        <v>61</v>
      </c>
      <c r="E9" s="81">
        <v>1.0</v>
      </c>
      <c r="F9" s="81">
        <v>2.0</v>
      </c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</row>
    <row r="10" ht="15.0" customHeight="1">
      <c r="A10" s="43"/>
      <c r="B10" s="80" t="s">
        <v>259</v>
      </c>
      <c r="C10" s="80" t="s">
        <v>260</v>
      </c>
      <c r="D10" s="80" t="s">
        <v>69</v>
      </c>
      <c r="E10" s="81">
        <v>0.5</v>
      </c>
      <c r="F10" s="81">
        <v>1.0</v>
      </c>
      <c r="G10" s="43"/>
      <c r="H10" s="43" t="s">
        <v>65</v>
      </c>
      <c r="I10" s="58">
        <v>14.0</v>
      </c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</row>
    <row r="11" ht="18.0" customHeight="1">
      <c r="A11" s="43"/>
      <c r="B11" s="80" t="s">
        <v>261</v>
      </c>
      <c r="C11" s="80" t="s">
        <v>260</v>
      </c>
      <c r="D11" s="80" t="s">
        <v>69</v>
      </c>
      <c r="E11" s="81">
        <v>0.5</v>
      </c>
      <c r="F11" s="81">
        <v>0.5</v>
      </c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</row>
    <row r="12" ht="15.0" customHeight="1">
      <c r="A12" s="43"/>
      <c r="B12" s="80" t="s">
        <v>262</v>
      </c>
      <c r="C12" s="80" t="s">
        <v>52</v>
      </c>
      <c r="D12" s="80" t="s">
        <v>68</v>
      </c>
      <c r="E12" s="81">
        <v>0.25</v>
      </c>
      <c r="F12" s="81">
        <v>0.5</v>
      </c>
      <c r="G12" s="43"/>
      <c r="H12" s="43"/>
      <c r="I12" s="43"/>
      <c r="J12" s="83" t="s">
        <v>169</v>
      </c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</row>
    <row r="13" ht="15.0" customHeight="1">
      <c r="A13" s="43"/>
      <c r="B13" s="55" t="s">
        <v>38</v>
      </c>
      <c r="C13" s="55"/>
      <c r="D13" s="55"/>
      <c r="E13" s="57">
        <f t="shared" ref="E13:F13" si="1">SUM(E4:E12)</f>
        <v>6.33</v>
      </c>
      <c r="F13" s="57">
        <f t="shared" si="1"/>
        <v>8</v>
      </c>
      <c r="G13" s="43"/>
      <c r="H13" s="43"/>
      <c r="I13" s="43"/>
      <c r="J13" s="60" t="s">
        <v>38</v>
      </c>
      <c r="K13" s="61"/>
      <c r="L13" s="84" t="s">
        <v>15</v>
      </c>
      <c r="M13" s="61"/>
      <c r="N13" s="84" t="s">
        <v>263</v>
      </c>
      <c r="O13" s="61"/>
      <c r="P13" s="84" t="s">
        <v>264</v>
      </c>
      <c r="Q13" s="61"/>
      <c r="R13" s="84" t="s">
        <v>29</v>
      </c>
      <c r="S13" s="61"/>
      <c r="T13" s="84" t="s">
        <v>30</v>
      </c>
      <c r="U13" s="61"/>
      <c r="V13" s="84" t="s">
        <v>172</v>
      </c>
      <c r="W13" s="61"/>
      <c r="X13" s="43"/>
      <c r="Y13" s="43"/>
    </row>
    <row r="14" ht="15.75" customHeight="1">
      <c r="A14" s="54"/>
      <c r="G14" s="43"/>
      <c r="H14" s="63" t="s">
        <v>72</v>
      </c>
      <c r="I14" s="61"/>
      <c r="J14" s="64" t="s">
        <v>73</v>
      </c>
      <c r="K14" s="65" t="s">
        <v>74</v>
      </c>
      <c r="L14" s="64" t="s">
        <v>73</v>
      </c>
      <c r="M14" s="65" t="s">
        <v>74</v>
      </c>
      <c r="N14" s="64" t="s">
        <v>73</v>
      </c>
      <c r="O14" s="65" t="s">
        <v>74</v>
      </c>
      <c r="P14" s="64" t="s">
        <v>73</v>
      </c>
      <c r="Q14" s="65" t="s">
        <v>74</v>
      </c>
      <c r="R14" s="64" t="s">
        <v>73</v>
      </c>
      <c r="S14" s="65" t="s">
        <v>74</v>
      </c>
      <c r="T14" s="64" t="s">
        <v>73</v>
      </c>
      <c r="U14" s="65" t="s">
        <v>74</v>
      </c>
      <c r="V14" s="64" t="s">
        <v>73</v>
      </c>
      <c r="W14" s="65" t="s">
        <v>74</v>
      </c>
      <c r="X14" s="43"/>
      <c r="Y14" s="43"/>
    </row>
    <row r="15" ht="15.75" customHeight="1">
      <c r="A15" s="43"/>
      <c r="B15" s="43"/>
      <c r="C15" s="43"/>
      <c r="D15" s="43"/>
      <c r="E15" s="43"/>
      <c r="F15" s="43"/>
      <c r="G15" s="43"/>
      <c r="H15" s="85">
        <v>46112.0</v>
      </c>
      <c r="I15" s="86">
        <v>1.0</v>
      </c>
      <c r="J15" s="58">
        <v>94.83</v>
      </c>
      <c r="K15" s="43">
        <f t="shared" ref="K15:K28" si="2">M15+O15+Q15+S15+U15+W15+Y15</f>
        <v>117.83</v>
      </c>
      <c r="L15" s="87">
        <v>8.0</v>
      </c>
      <c r="M15" s="87">
        <v>6.33</v>
      </c>
      <c r="N15" s="87">
        <v>15.0</v>
      </c>
      <c r="O15" s="87">
        <v>16.0</v>
      </c>
      <c r="P15" s="87">
        <v>14.0</v>
      </c>
      <c r="Q15" s="87">
        <v>9.75</v>
      </c>
      <c r="R15" s="87">
        <v>15.0</v>
      </c>
      <c r="S15" s="87">
        <v>33.75</v>
      </c>
      <c r="T15" s="87">
        <v>25.0</v>
      </c>
      <c r="U15" s="87">
        <v>24.0</v>
      </c>
      <c r="V15" s="87">
        <v>10.0</v>
      </c>
      <c r="W15" s="87">
        <v>28.0</v>
      </c>
      <c r="X15" s="43"/>
      <c r="Y15" s="43"/>
    </row>
    <row r="16" ht="16.5" customHeight="1">
      <c r="A16" s="43"/>
      <c r="B16" s="78" t="s">
        <v>265</v>
      </c>
      <c r="C16" s="45"/>
      <c r="D16" s="45"/>
      <c r="E16" s="45"/>
      <c r="F16" s="46"/>
      <c r="G16" s="43"/>
      <c r="H16" s="85">
        <v>46113.0</v>
      </c>
      <c r="I16" s="86">
        <v>2.0</v>
      </c>
      <c r="J16" s="69">
        <f t="shared" ref="J16:J28" si="3">J15-($J$15/($I$10-1))</f>
        <v>87.53538462</v>
      </c>
      <c r="K16" s="43">
        <f t="shared" si="2"/>
        <v>117.83</v>
      </c>
      <c r="L16" s="69">
        <f t="shared" ref="L16:L28" si="4">$L$15*(1-1/$I$10*I16)</f>
        <v>6.857142857</v>
      </c>
      <c r="M16" s="87">
        <v>6.33</v>
      </c>
      <c r="N16" s="69">
        <f t="shared" ref="N16:N28" si="5">$N$15*(1-1/$I$10*I16)</f>
        <v>12.85714286</v>
      </c>
      <c r="O16" s="87">
        <v>16.0</v>
      </c>
      <c r="P16" s="69">
        <f t="shared" ref="P16:P28" si="6">$P$15*(1-1/$I$10*I16)</f>
        <v>12</v>
      </c>
      <c r="Q16" s="87">
        <v>9.75</v>
      </c>
      <c r="R16" s="69">
        <f t="shared" ref="R16:R28" si="7">$R$15*(1-1/$I$10*I16)</f>
        <v>12.85714286</v>
      </c>
      <c r="S16" s="87">
        <v>33.75</v>
      </c>
      <c r="T16" s="69">
        <f t="shared" ref="T16:T28" si="8">$T$15*(1-1/$I$10*I16)</f>
        <v>21.42857143</v>
      </c>
      <c r="U16" s="87">
        <v>24.0</v>
      </c>
      <c r="V16" s="69">
        <f t="shared" ref="V16:V28" si="9">$V$15*(1-1/$I$10*I16)</f>
        <v>8.571428571</v>
      </c>
      <c r="W16" s="87">
        <v>28.0</v>
      </c>
      <c r="X16" s="43"/>
      <c r="Y16" s="43"/>
    </row>
    <row r="17" ht="16.5" customHeight="1">
      <c r="A17" s="43"/>
      <c r="B17" s="47" t="s">
        <v>45</v>
      </c>
      <c r="C17" s="47" t="s">
        <v>46</v>
      </c>
      <c r="D17" s="47" t="s">
        <v>47</v>
      </c>
      <c r="E17" s="47" t="s">
        <v>48</v>
      </c>
      <c r="F17" s="47" t="s">
        <v>49</v>
      </c>
      <c r="G17" s="43"/>
      <c r="H17" s="85">
        <v>46114.0</v>
      </c>
      <c r="I17" s="86">
        <v>3.0</v>
      </c>
      <c r="J17" s="69">
        <f t="shared" si="3"/>
        <v>80.24076923</v>
      </c>
      <c r="K17" s="43">
        <f t="shared" si="2"/>
        <v>117.16</v>
      </c>
      <c r="L17" s="69">
        <f t="shared" si="4"/>
        <v>6.285714286</v>
      </c>
      <c r="M17" s="87">
        <v>6.33</v>
      </c>
      <c r="N17" s="69">
        <f t="shared" si="5"/>
        <v>11.78571429</v>
      </c>
      <c r="O17" s="87">
        <v>15.33</v>
      </c>
      <c r="P17" s="69">
        <f t="shared" si="6"/>
        <v>11</v>
      </c>
      <c r="Q17" s="87">
        <v>9.75</v>
      </c>
      <c r="R17" s="69">
        <f t="shared" si="7"/>
        <v>11.78571429</v>
      </c>
      <c r="S17" s="87">
        <v>33.75</v>
      </c>
      <c r="T17" s="69">
        <f t="shared" si="8"/>
        <v>19.64285714</v>
      </c>
      <c r="U17" s="87">
        <v>24.0</v>
      </c>
      <c r="V17" s="69">
        <f t="shared" si="9"/>
        <v>7.857142857</v>
      </c>
      <c r="W17" s="87">
        <v>28.0</v>
      </c>
      <c r="X17" s="43"/>
      <c r="Y17" s="43"/>
    </row>
    <row r="18" ht="16.5" customHeight="1">
      <c r="A18" s="43"/>
      <c r="B18" s="80" t="s">
        <v>266</v>
      </c>
      <c r="C18" s="80" t="s">
        <v>53</v>
      </c>
      <c r="D18" s="80" t="s">
        <v>199</v>
      </c>
      <c r="E18" s="81">
        <v>0.0</v>
      </c>
      <c r="F18" s="81">
        <v>1.0</v>
      </c>
      <c r="G18" s="43"/>
      <c r="H18" s="85">
        <v>46115.0</v>
      </c>
      <c r="I18" s="86">
        <v>4.0</v>
      </c>
      <c r="J18" s="69">
        <f t="shared" si="3"/>
        <v>72.94615385</v>
      </c>
      <c r="K18" s="43">
        <f t="shared" si="2"/>
        <v>109.91</v>
      </c>
      <c r="L18" s="69">
        <f t="shared" si="4"/>
        <v>5.714285714</v>
      </c>
      <c r="M18" s="87">
        <v>6.33</v>
      </c>
      <c r="N18" s="69">
        <f t="shared" si="5"/>
        <v>10.71428571</v>
      </c>
      <c r="O18" s="87">
        <v>10.33</v>
      </c>
      <c r="P18" s="69">
        <f t="shared" si="6"/>
        <v>10</v>
      </c>
      <c r="Q18" s="87">
        <v>7.5</v>
      </c>
      <c r="R18" s="69">
        <f t="shared" si="7"/>
        <v>10.71428571</v>
      </c>
      <c r="S18" s="87">
        <v>33.75</v>
      </c>
      <c r="T18" s="69">
        <f t="shared" si="8"/>
        <v>17.85714286</v>
      </c>
      <c r="U18" s="87">
        <v>24.0</v>
      </c>
      <c r="V18" s="69">
        <f t="shared" si="9"/>
        <v>7.142857143</v>
      </c>
      <c r="W18" s="87">
        <v>28.0</v>
      </c>
      <c r="X18" s="43"/>
      <c r="Y18" s="43"/>
    </row>
    <row r="19" ht="16.5" customHeight="1">
      <c r="A19" s="43"/>
      <c r="B19" s="80" t="s">
        <v>267</v>
      </c>
      <c r="C19" s="80" t="s">
        <v>53</v>
      </c>
      <c r="D19" s="80" t="s">
        <v>199</v>
      </c>
      <c r="E19" s="81">
        <v>4.0</v>
      </c>
      <c r="F19" s="81">
        <v>3.0</v>
      </c>
      <c r="G19" s="43"/>
      <c r="H19" s="85">
        <v>46116.0</v>
      </c>
      <c r="I19" s="86">
        <v>5.0</v>
      </c>
      <c r="J19" s="69">
        <f t="shared" si="3"/>
        <v>65.65153846</v>
      </c>
      <c r="K19" s="43">
        <f t="shared" si="2"/>
        <v>97.41</v>
      </c>
      <c r="L19" s="69">
        <f t="shared" si="4"/>
        <v>5.142857143</v>
      </c>
      <c r="M19" s="87">
        <v>5.58</v>
      </c>
      <c r="N19" s="69">
        <f t="shared" si="5"/>
        <v>9.642857143</v>
      </c>
      <c r="O19" s="87">
        <v>7.33</v>
      </c>
      <c r="P19" s="69">
        <f t="shared" si="6"/>
        <v>9</v>
      </c>
      <c r="Q19" s="87">
        <v>7.5</v>
      </c>
      <c r="R19" s="69">
        <f t="shared" si="7"/>
        <v>9.642857143</v>
      </c>
      <c r="S19" s="87">
        <v>31.75</v>
      </c>
      <c r="T19" s="69">
        <f t="shared" si="8"/>
        <v>16.07142857</v>
      </c>
      <c r="U19" s="87">
        <v>24.0</v>
      </c>
      <c r="V19" s="69">
        <f t="shared" si="9"/>
        <v>6.428571429</v>
      </c>
      <c r="W19" s="87">
        <v>21.25</v>
      </c>
      <c r="X19" s="43"/>
      <c r="Y19" s="43"/>
    </row>
    <row r="20" ht="16.5" customHeight="1">
      <c r="A20" s="43"/>
      <c r="B20" s="80" t="s">
        <v>268</v>
      </c>
      <c r="C20" s="80" t="s">
        <v>53</v>
      </c>
      <c r="D20" s="80" t="s">
        <v>199</v>
      </c>
      <c r="E20" s="81">
        <v>3.0</v>
      </c>
      <c r="F20" s="81">
        <v>2.0</v>
      </c>
      <c r="G20" s="58"/>
      <c r="H20" s="85">
        <v>46117.0</v>
      </c>
      <c r="I20" s="86">
        <v>6.0</v>
      </c>
      <c r="J20" s="69">
        <f t="shared" si="3"/>
        <v>58.35692308</v>
      </c>
      <c r="K20" s="43">
        <f t="shared" si="2"/>
        <v>84.5</v>
      </c>
      <c r="L20" s="69">
        <f t="shared" si="4"/>
        <v>4.571428571</v>
      </c>
      <c r="M20" s="87">
        <v>3.0</v>
      </c>
      <c r="N20" s="69">
        <f t="shared" si="5"/>
        <v>8.571428571</v>
      </c>
      <c r="O20" s="87">
        <v>2.0</v>
      </c>
      <c r="P20" s="69">
        <f t="shared" si="6"/>
        <v>8</v>
      </c>
      <c r="Q20" s="87">
        <v>7.5</v>
      </c>
      <c r="R20" s="69">
        <f t="shared" si="7"/>
        <v>8.571428571</v>
      </c>
      <c r="S20" s="87">
        <v>29.75</v>
      </c>
      <c r="T20" s="69">
        <f t="shared" si="8"/>
        <v>14.28571429</v>
      </c>
      <c r="U20" s="87">
        <v>24.0</v>
      </c>
      <c r="V20" s="69">
        <f t="shared" si="9"/>
        <v>5.714285714</v>
      </c>
      <c r="W20" s="87">
        <v>18.25</v>
      </c>
      <c r="X20" s="43"/>
      <c r="Y20" s="43"/>
    </row>
    <row r="21" ht="15.75" customHeight="1">
      <c r="A21" s="43"/>
      <c r="B21" s="80" t="s">
        <v>269</v>
      </c>
      <c r="C21" s="80" t="s">
        <v>53</v>
      </c>
      <c r="D21" s="80" t="s">
        <v>199</v>
      </c>
      <c r="E21" s="81">
        <v>2.0</v>
      </c>
      <c r="F21" s="81">
        <v>2.0</v>
      </c>
      <c r="G21" s="43"/>
      <c r="H21" s="85">
        <v>46118.0</v>
      </c>
      <c r="I21" s="86">
        <v>7.0</v>
      </c>
      <c r="J21" s="69">
        <f t="shared" si="3"/>
        <v>51.06230769</v>
      </c>
      <c r="K21" s="43">
        <f t="shared" si="2"/>
        <v>77.5</v>
      </c>
      <c r="L21" s="69">
        <f t="shared" si="4"/>
        <v>4</v>
      </c>
      <c r="M21" s="87">
        <v>1.0</v>
      </c>
      <c r="N21" s="69">
        <f t="shared" si="5"/>
        <v>7.5</v>
      </c>
      <c r="O21" s="87">
        <v>2.0</v>
      </c>
      <c r="P21" s="69">
        <f t="shared" si="6"/>
        <v>7</v>
      </c>
      <c r="Q21" s="87">
        <v>7.5</v>
      </c>
      <c r="R21" s="69">
        <f t="shared" si="7"/>
        <v>7.5</v>
      </c>
      <c r="S21" s="87">
        <v>29.25</v>
      </c>
      <c r="T21" s="69">
        <f t="shared" si="8"/>
        <v>12.5</v>
      </c>
      <c r="U21" s="87">
        <v>22.0</v>
      </c>
      <c r="V21" s="69">
        <f t="shared" si="9"/>
        <v>5</v>
      </c>
      <c r="W21" s="87">
        <v>15.75</v>
      </c>
      <c r="X21" s="43"/>
      <c r="Y21" s="43"/>
    </row>
    <row r="22" ht="15.75" customHeight="1">
      <c r="A22" s="43"/>
      <c r="B22" s="80" t="s">
        <v>270</v>
      </c>
      <c r="C22" s="80" t="s">
        <v>199</v>
      </c>
      <c r="D22" s="80" t="s">
        <v>53</v>
      </c>
      <c r="E22" s="81">
        <v>2.0</v>
      </c>
      <c r="F22" s="81">
        <v>2.0</v>
      </c>
      <c r="G22" s="58"/>
      <c r="H22" s="85">
        <v>46119.0</v>
      </c>
      <c r="I22" s="86">
        <v>8.0</v>
      </c>
      <c r="J22" s="69">
        <f t="shared" si="3"/>
        <v>43.76769231</v>
      </c>
      <c r="K22" s="43">
        <f t="shared" si="2"/>
        <v>76.5</v>
      </c>
      <c r="L22" s="69">
        <f t="shared" si="4"/>
        <v>3.428571429</v>
      </c>
      <c r="M22" s="87">
        <v>1.0</v>
      </c>
      <c r="N22" s="69">
        <f t="shared" si="5"/>
        <v>6.428571429</v>
      </c>
      <c r="O22" s="87">
        <v>1.0</v>
      </c>
      <c r="P22" s="69">
        <f t="shared" si="6"/>
        <v>6</v>
      </c>
      <c r="Q22" s="87">
        <v>7.5</v>
      </c>
      <c r="R22" s="69">
        <f t="shared" si="7"/>
        <v>6.428571429</v>
      </c>
      <c r="S22" s="87">
        <v>29.25</v>
      </c>
      <c r="T22" s="69">
        <f t="shared" si="8"/>
        <v>10.71428571</v>
      </c>
      <c r="U22" s="87">
        <v>22.0</v>
      </c>
      <c r="V22" s="69">
        <f t="shared" si="9"/>
        <v>4.285714286</v>
      </c>
      <c r="W22" s="87">
        <v>15.75</v>
      </c>
      <c r="X22" s="43"/>
      <c r="Y22" s="43"/>
    </row>
    <row r="23" ht="15.75" customHeight="1">
      <c r="A23" s="43"/>
      <c r="B23" s="80" t="s">
        <v>271</v>
      </c>
      <c r="C23" s="80" t="s">
        <v>69</v>
      </c>
      <c r="D23" s="80" t="s">
        <v>179</v>
      </c>
      <c r="E23" s="81">
        <v>1.0</v>
      </c>
      <c r="F23" s="81">
        <v>1.0</v>
      </c>
      <c r="G23" s="58"/>
      <c r="H23" s="85">
        <v>46120.0</v>
      </c>
      <c r="I23" s="86">
        <v>9.0</v>
      </c>
      <c r="J23" s="69">
        <f t="shared" si="3"/>
        <v>36.47307692</v>
      </c>
      <c r="K23" s="43">
        <f t="shared" si="2"/>
        <v>71.5</v>
      </c>
      <c r="L23" s="69">
        <f t="shared" si="4"/>
        <v>2.857142857</v>
      </c>
      <c r="M23" s="87">
        <v>1.0</v>
      </c>
      <c r="N23" s="69">
        <f t="shared" si="5"/>
        <v>5.357142857</v>
      </c>
      <c r="O23" s="87">
        <v>0.0</v>
      </c>
      <c r="P23" s="69">
        <f t="shared" si="6"/>
        <v>5</v>
      </c>
      <c r="Q23" s="87">
        <v>7.5</v>
      </c>
      <c r="R23" s="69">
        <f t="shared" si="7"/>
        <v>5.357142857</v>
      </c>
      <c r="S23" s="87">
        <v>27.25</v>
      </c>
      <c r="T23" s="69">
        <f t="shared" si="8"/>
        <v>8.928571429</v>
      </c>
      <c r="U23" s="87">
        <v>22.0</v>
      </c>
      <c r="V23" s="69">
        <f t="shared" si="9"/>
        <v>3.571428571</v>
      </c>
      <c r="W23" s="87">
        <v>13.75</v>
      </c>
      <c r="X23" s="43"/>
      <c r="Y23" s="43"/>
    </row>
    <row r="24" ht="15.75" customHeight="1">
      <c r="A24" s="43"/>
      <c r="B24" s="80" t="s">
        <v>272</v>
      </c>
      <c r="C24" s="80" t="s">
        <v>179</v>
      </c>
      <c r="D24" s="80" t="s">
        <v>69</v>
      </c>
      <c r="E24" s="81">
        <v>1.0</v>
      </c>
      <c r="F24" s="81">
        <v>1.0</v>
      </c>
      <c r="G24" s="43"/>
      <c r="H24" s="85">
        <v>46121.0</v>
      </c>
      <c r="I24" s="86">
        <v>10.0</v>
      </c>
      <c r="J24" s="69">
        <f t="shared" si="3"/>
        <v>29.17846154</v>
      </c>
      <c r="K24" s="43">
        <f t="shared" si="2"/>
        <v>57</v>
      </c>
      <c r="L24" s="69">
        <f t="shared" si="4"/>
        <v>2.285714286</v>
      </c>
      <c r="M24" s="87">
        <v>0.5</v>
      </c>
      <c r="N24" s="69">
        <f t="shared" si="5"/>
        <v>4.285714286</v>
      </c>
      <c r="O24" s="87">
        <v>0.0</v>
      </c>
      <c r="P24" s="69">
        <f t="shared" si="6"/>
        <v>4</v>
      </c>
      <c r="Q24" s="87">
        <v>7.5</v>
      </c>
      <c r="R24" s="69">
        <f t="shared" si="7"/>
        <v>4.285714286</v>
      </c>
      <c r="S24" s="87">
        <v>20.25</v>
      </c>
      <c r="T24" s="69">
        <f t="shared" si="8"/>
        <v>7.142857143</v>
      </c>
      <c r="U24" s="87">
        <v>19.0</v>
      </c>
      <c r="V24" s="69">
        <f t="shared" si="9"/>
        <v>2.857142857</v>
      </c>
      <c r="W24" s="87">
        <v>9.75</v>
      </c>
      <c r="X24" s="43"/>
      <c r="Y24" s="43"/>
    </row>
    <row r="25" ht="15.75" customHeight="1">
      <c r="A25" s="43"/>
      <c r="B25" s="80" t="s">
        <v>273</v>
      </c>
      <c r="C25" s="80" t="s">
        <v>53</v>
      </c>
      <c r="D25" s="80" t="s">
        <v>61</v>
      </c>
      <c r="E25" s="81">
        <v>1.0</v>
      </c>
      <c r="F25" s="81">
        <v>1.0</v>
      </c>
      <c r="G25" s="43"/>
      <c r="H25" s="85">
        <v>46122.0</v>
      </c>
      <c r="I25" s="86">
        <v>11.0</v>
      </c>
      <c r="J25" s="69">
        <f t="shared" si="3"/>
        <v>21.88384615</v>
      </c>
      <c r="K25" s="43">
        <f t="shared" si="2"/>
        <v>54.75</v>
      </c>
      <c r="L25" s="69">
        <f t="shared" si="4"/>
        <v>1.714285714</v>
      </c>
      <c r="M25" s="87">
        <v>0.0</v>
      </c>
      <c r="N25" s="69">
        <f t="shared" si="5"/>
        <v>3.214285714</v>
      </c>
      <c r="O25" s="87">
        <v>0.0</v>
      </c>
      <c r="P25" s="69">
        <f t="shared" si="6"/>
        <v>3</v>
      </c>
      <c r="Q25" s="87">
        <v>7.5</v>
      </c>
      <c r="R25" s="69">
        <f t="shared" si="7"/>
        <v>3.214285714</v>
      </c>
      <c r="S25" s="87">
        <v>19.25</v>
      </c>
      <c r="T25" s="69">
        <f t="shared" si="8"/>
        <v>5.357142857</v>
      </c>
      <c r="U25" s="87">
        <v>19.0</v>
      </c>
      <c r="V25" s="69">
        <f t="shared" si="9"/>
        <v>2.142857143</v>
      </c>
      <c r="W25" s="87">
        <v>9.0</v>
      </c>
      <c r="X25" s="43"/>
      <c r="Y25" s="43"/>
    </row>
    <row r="26" ht="15.75" customHeight="1">
      <c r="A26" s="43"/>
      <c r="B26" s="80" t="s">
        <v>274</v>
      </c>
      <c r="C26" s="80" t="s">
        <v>179</v>
      </c>
      <c r="D26" s="80" t="s">
        <v>69</v>
      </c>
      <c r="E26" s="81">
        <v>1.0</v>
      </c>
      <c r="F26" s="81">
        <v>1.0</v>
      </c>
      <c r="G26" s="43"/>
      <c r="H26" s="85">
        <v>46123.0</v>
      </c>
      <c r="I26" s="86">
        <v>12.0</v>
      </c>
      <c r="J26" s="69">
        <f t="shared" si="3"/>
        <v>14.58923077</v>
      </c>
      <c r="K26" s="43">
        <f t="shared" si="2"/>
        <v>44.25</v>
      </c>
      <c r="L26" s="69">
        <f t="shared" si="4"/>
        <v>1.142857143</v>
      </c>
      <c r="M26" s="87">
        <v>0.0</v>
      </c>
      <c r="N26" s="69">
        <f t="shared" si="5"/>
        <v>2.142857143</v>
      </c>
      <c r="O26" s="87">
        <v>0.0</v>
      </c>
      <c r="P26" s="69">
        <f t="shared" si="6"/>
        <v>2</v>
      </c>
      <c r="Q26" s="87">
        <v>4.5</v>
      </c>
      <c r="R26" s="69">
        <f t="shared" si="7"/>
        <v>2.142857143</v>
      </c>
      <c r="S26" s="87">
        <v>16.75</v>
      </c>
      <c r="T26" s="69">
        <f t="shared" si="8"/>
        <v>3.571428571</v>
      </c>
      <c r="U26" s="87">
        <v>17.0</v>
      </c>
      <c r="V26" s="69">
        <f t="shared" si="9"/>
        <v>1.428571429</v>
      </c>
      <c r="W26" s="87">
        <v>6.0</v>
      </c>
      <c r="X26" s="43"/>
      <c r="Y26" s="43"/>
    </row>
    <row r="27" ht="15.75" customHeight="1">
      <c r="A27" s="43"/>
      <c r="B27" s="80" t="s">
        <v>275</v>
      </c>
      <c r="C27" s="80" t="s">
        <v>260</v>
      </c>
      <c r="D27" s="80" t="s">
        <v>69</v>
      </c>
      <c r="E27" s="81">
        <v>1.0</v>
      </c>
      <c r="F27" s="81">
        <v>1.0</v>
      </c>
      <c r="G27" s="43"/>
      <c r="H27" s="85">
        <v>46124.0</v>
      </c>
      <c r="I27" s="86">
        <v>13.0</v>
      </c>
      <c r="J27" s="69">
        <f t="shared" si="3"/>
        <v>7.294615385</v>
      </c>
      <c r="K27" s="43">
        <f t="shared" si="2"/>
        <v>36.25</v>
      </c>
      <c r="L27" s="69">
        <f t="shared" si="4"/>
        <v>0.5714285714</v>
      </c>
      <c r="M27" s="87">
        <v>0.0</v>
      </c>
      <c r="N27" s="69">
        <f t="shared" si="5"/>
        <v>1.071428571</v>
      </c>
      <c r="O27" s="87">
        <v>0.0</v>
      </c>
      <c r="P27" s="69">
        <f t="shared" si="6"/>
        <v>1</v>
      </c>
      <c r="Q27" s="87">
        <v>4.0</v>
      </c>
      <c r="R27" s="69">
        <f t="shared" si="7"/>
        <v>1.071428571</v>
      </c>
      <c r="S27" s="87">
        <v>13.25</v>
      </c>
      <c r="T27" s="69">
        <f t="shared" si="8"/>
        <v>1.785714286</v>
      </c>
      <c r="U27" s="87">
        <v>15.0</v>
      </c>
      <c r="V27" s="69">
        <f t="shared" si="9"/>
        <v>0.7142857143</v>
      </c>
      <c r="W27" s="87">
        <v>4.0</v>
      </c>
      <c r="X27" s="43"/>
      <c r="Y27" s="43"/>
    </row>
    <row r="28" ht="15.75" customHeight="1">
      <c r="A28" s="43"/>
      <c r="B28" s="55" t="s">
        <v>38</v>
      </c>
      <c r="C28" s="55"/>
      <c r="D28" s="55"/>
      <c r="E28" s="57">
        <f t="shared" ref="E28:F28" si="10">SUM(E18:E27)</f>
        <v>16</v>
      </c>
      <c r="F28" s="57">
        <f t="shared" si="10"/>
        <v>15</v>
      </c>
      <c r="G28" s="43"/>
      <c r="H28" s="85">
        <v>46125.0</v>
      </c>
      <c r="I28" s="86">
        <v>14.0</v>
      </c>
      <c r="J28" s="69">
        <f t="shared" si="3"/>
        <v>0</v>
      </c>
      <c r="K28" s="43">
        <f t="shared" si="2"/>
        <v>23</v>
      </c>
      <c r="L28" s="69">
        <f t="shared" si="4"/>
        <v>0</v>
      </c>
      <c r="M28" s="87">
        <v>0.0</v>
      </c>
      <c r="N28" s="69">
        <f t="shared" si="5"/>
        <v>0</v>
      </c>
      <c r="O28" s="87">
        <v>0.0</v>
      </c>
      <c r="P28" s="69">
        <f t="shared" si="6"/>
        <v>0</v>
      </c>
      <c r="Q28" s="87">
        <v>0.0</v>
      </c>
      <c r="R28" s="69">
        <f t="shared" si="7"/>
        <v>0</v>
      </c>
      <c r="S28" s="87">
        <v>8.0</v>
      </c>
      <c r="T28" s="69">
        <f t="shared" si="8"/>
        <v>0</v>
      </c>
      <c r="U28" s="87">
        <v>15.0</v>
      </c>
      <c r="V28" s="69">
        <f t="shared" si="9"/>
        <v>0</v>
      </c>
      <c r="W28" s="87">
        <v>0.0</v>
      </c>
      <c r="X28" s="43"/>
      <c r="Y28" s="43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</row>
    <row r="31" ht="15.75" customHeight="1">
      <c r="A31" s="43"/>
      <c r="B31" s="78" t="s">
        <v>276</v>
      </c>
      <c r="C31" s="45"/>
      <c r="D31" s="45"/>
      <c r="E31" s="45"/>
      <c r="F31" s="46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</row>
    <row r="32" ht="15.75" customHeight="1">
      <c r="A32" s="43"/>
      <c r="B32" s="47" t="s">
        <v>45</v>
      </c>
      <c r="C32" s="47" t="s">
        <v>46</v>
      </c>
      <c r="D32" s="47" t="s">
        <v>47</v>
      </c>
      <c r="E32" s="47" t="s">
        <v>48</v>
      </c>
      <c r="F32" s="47" t="s">
        <v>49</v>
      </c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</row>
    <row r="33" ht="15.75" customHeight="1">
      <c r="A33" s="43"/>
      <c r="B33" s="80" t="s">
        <v>277</v>
      </c>
      <c r="C33" s="80" t="s">
        <v>61</v>
      </c>
      <c r="D33" s="80" t="s">
        <v>254</v>
      </c>
      <c r="E33" s="81">
        <v>1.25</v>
      </c>
      <c r="F33" s="81">
        <v>2.0</v>
      </c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</row>
    <row r="34" ht="15.75" customHeight="1">
      <c r="A34" s="43"/>
      <c r="B34" s="80" t="s">
        <v>278</v>
      </c>
      <c r="C34" s="80" t="s">
        <v>61</v>
      </c>
      <c r="D34" s="80" t="s">
        <v>53</v>
      </c>
      <c r="E34" s="81">
        <v>1.0</v>
      </c>
      <c r="F34" s="81">
        <v>2.0</v>
      </c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</row>
    <row r="35" ht="15.75" customHeight="1">
      <c r="A35" s="43"/>
      <c r="B35" s="80" t="s">
        <v>279</v>
      </c>
      <c r="C35" s="80" t="s">
        <v>61</v>
      </c>
      <c r="D35" s="80" t="s">
        <v>254</v>
      </c>
      <c r="E35" s="81">
        <v>1.0</v>
      </c>
      <c r="F35" s="81">
        <v>2.0</v>
      </c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</row>
    <row r="36" ht="15.75" customHeight="1">
      <c r="A36" s="43"/>
      <c r="B36" s="80" t="s">
        <v>280</v>
      </c>
      <c r="C36" s="80" t="s">
        <v>61</v>
      </c>
      <c r="D36" s="80" t="s">
        <v>53</v>
      </c>
      <c r="E36" s="81">
        <v>1.5</v>
      </c>
      <c r="F36" s="81">
        <v>2.0</v>
      </c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</row>
    <row r="37" ht="15.75" customHeight="1">
      <c r="A37" s="54"/>
      <c r="B37" s="80" t="s">
        <v>281</v>
      </c>
      <c r="C37" s="80" t="s">
        <v>53</v>
      </c>
      <c r="D37" s="80" t="s">
        <v>61</v>
      </c>
      <c r="E37" s="81">
        <v>1.0</v>
      </c>
      <c r="F37" s="81">
        <v>2.0</v>
      </c>
      <c r="G37" s="58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</row>
    <row r="38" ht="15.75" customHeight="1">
      <c r="A38" s="43"/>
      <c r="B38" s="80" t="s">
        <v>282</v>
      </c>
      <c r="C38" s="80" t="s">
        <v>179</v>
      </c>
      <c r="D38" s="80" t="s">
        <v>52</v>
      </c>
      <c r="E38" s="81">
        <v>4.0</v>
      </c>
      <c r="F38" s="81">
        <v>4.0</v>
      </c>
      <c r="G38" s="58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</row>
    <row r="39" ht="15.75" customHeight="1">
      <c r="A39" s="43"/>
      <c r="B39" s="55" t="s">
        <v>38</v>
      </c>
      <c r="C39" s="55"/>
      <c r="D39" s="55"/>
      <c r="E39" s="57">
        <f t="shared" ref="E39:F39" si="11">SUM(E33:E38)</f>
        <v>9.75</v>
      </c>
      <c r="F39" s="57">
        <f t="shared" si="11"/>
        <v>14</v>
      </c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</row>
    <row r="40" ht="15.75" customHeight="1">
      <c r="A40" s="43"/>
      <c r="B40" s="51"/>
      <c r="C40" s="51"/>
      <c r="D40" s="51"/>
      <c r="E40" s="52"/>
      <c r="F40" s="52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</row>
    <row r="41" ht="15.75" customHeight="1">
      <c r="A41" s="43"/>
      <c r="B41" s="51"/>
      <c r="C41" s="51"/>
      <c r="D41" s="51"/>
      <c r="E41" s="52"/>
      <c r="F41" s="52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</row>
    <row r="42" ht="15.75" customHeight="1">
      <c r="A42" s="43"/>
      <c r="B42" s="89" t="s">
        <v>283</v>
      </c>
      <c r="C42" s="45"/>
      <c r="D42" s="45"/>
      <c r="E42" s="45"/>
      <c r="F42" s="4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</row>
    <row r="43" ht="15.75" customHeight="1">
      <c r="A43" s="43"/>
      <c r="B43" s="90" t="s">
        <v>45</v>
      </c>
      <c r="C43" s="90" t="s">
        <v>46</v>
      </c>
      <c r="D43" s="90" t="s">
        <v>47</v>
      </c>
      <c r="E43" s="90" t="s">
        <v>48</v>
      </c>
      <c r="F43" s="90" t="s">
        <v>49</v>
      </c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</row>
    <row r="44" ht="15.75" customHeight="1">
      <c r="A44" s="43"/>
      <c r="B44" s="91" t="s">
        <v>284</v>
      </c>
      <c r="C44" s="80" t="s">
        <v>68</v>
      </c>
      <c r="D44" s="80" t="s">
        <v>52</v>
      </c>
      <c r="E44" s="81">
        <v>2.0</v>
      </c>
      <c r="F44" s="81">
        <v>0.5</v>
      </c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</row>
    <row r="45" ht="15.75" customHeight="1">
      <c r="A45" s="43"/>
      <c r="B45" s="91" t="s">
        <v>285</v>
      </c>
      <c r="C45" s="80" t="s">
        <v>52</v>
      </c>
      <c r="D45" s="80" t="s">
        <v>68</v>
      </c>
      <c r="E45" s="81">
        <v>2.0</v>
      </c>
      <c r="F45" s="81">
        <v>0.5</v>
      </c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</row>
    <row r="46" ht="15.75" customHeight="1">
      <c r="A46" s="43"/>
      <c r="B46" s="91" t="s">
        <v>286</v>
      </c>
      <c r="C46" s="80" t="s">
        <v>68</v>
      </c>
      <c r="D46" s="80" t="s">
        <v>52</v>
      </c>
      <c r="E46" s="81">
        <v>1.5</v>
      </c>
      <c r="F46" s="81">
        <v>0.25</v>
      </c>
      <c r="G46" s="58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</row>
    <row r="47" ht="15.75" customHeight="1">
      <c r="A47" s="43"/>
      <c r="B47" s="91" t="s">
        <v>287</v>
      </c>
      <c r="C47" s="80" t="s">
        <v>68</v>
      </c>
      <c r="D47" s="80" t="s">
        <v>199</v>
      </c>
      <c r="E47" s="81">
        <v>2.0</v>
      </c>
      <c r="F47" s="81">
        <v>0.5</v>
      </c>
      <c r="G47" s="58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</row>
    <row r="48" ht="15.75" customHeight="1">
      <c r="A48" s="43"/>
      <c r="B48" s="91" t="s">
        <v>288</v>
      </c>
      <c r="C48" s="80" t="s">
        <v>199</v>
      </c>
      <c r="D48" s="80" t="s">
        <v>68</v>
      </c>
      <c r="E48" s="81">
        <v>5.0</v>
      </c>
      <c r="F48" s="81">
        <v>1.0</v>
      </c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</row>
    <row r="49" ht="15.75" customHeight="1">
      <c r="A49" s="43"/>
      <c r="B49" s="91" t="s">
        <v>289</v>
      </c>
      <c r="C49" s="80" t="s">
        <v>69</v>
      </c>
      <c r="D49" s="80" t="s">
        <v>260</v>
      </c>
      <c r="E49" s="81">
        <v>2.5</v>
      </c>
      <c r="F49" s="81">
        <v>0.5</v>
      </c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</row>
    <row r="50" ht="15.75" customHeight="1">
      <c r="A50" s="43"/>
      <c r="B50" s="91" t="s">
        <v>290</v>
      </c>
      <c r="C50" s="80" t="s">
        <v>68</v>
      </c>
      <c r="D50" s="80" t="s">
        <v>199</v>
      </c>
      <c r="E50" s="81">
        <v>2.0</v>
      </c>
      <c r="F50" s="81">
        <v>0.5</v>
      </c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</row>
    <row r="51" ht="18.0" customHeight="1">
      <c r="A51" s="54"/>
      <c r="B51" s="91" t="s">
        <v>291</v>
      </c>
      <c r="C51" s="80" t="s">
        <v>68</v>
      </c>
      <c r="D51" s="80" t="s">
        <v>137</v>
      </c>
      <c r="E51" s="81">
        <v>2.0</v>
      </c>
      <c r="F51" s="81">
        <v>0.5</v>
      </c>
      <c r="G51" s="58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</row>
    <row r="52" ht="15.75" customHeight="1">
      <c r="A52" s="43"/>
      <c r="B52" s="91" t="s">
        <v>292</v>
      </c>
      <c r="C52" s="80" t="s">
        <v>199</v>
      </c>
      <c r="D52" s="80" t="s">
        <v>68</v>
      </c>
      <c r="E52" s="81">
        <v>1.5</v>
      </c>
      <c r="F52" s="81">
        <v>0.5</v>
      </c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</row>
    <row r="53" ht="15.75" customHeight="1">
      <c r="A53" s="43"/>
      <c r="B53" s="91" t="s">
        <v>293</v>
      </c>
      <c r="C53" s="80" t="s">
        <v>137</v>
      </c>
      <c r="D53" s="80" t="s">
        <v>68</v>
      </c>
      <c r="E53" s="81">
        <v>0.5</v>
      </c>
      <c r="F53" s="81">
        <v>0.25</v>
      </c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</row>
    <row r="54" ht="15.75" customHeight="1">
      <c r="A54" s="43"/>
      <c r="B54" s="91" t="s">
        <v>294</v>
      </c>
      <c r="C54" s="80" t="s">
        <v>137</v>
      </c>
      <c r="D54" s="80" t="s">
        <v>68</v>
      </c>
      <c r="E54" s="81">
        <v>0.5</v>
      </c>
      <c r="F54" s="81">
        <v>0.25</v>
      </c>
      <c r="G54" s="58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</row>
    <row r="55" ht="15.75" customHeight="1">
      <c r="A55" s="43"/>
      <c r="B55" s="91" t="s">
        <v>295</v>
      </c>
      <c r="C55" s="80" t="s">
        <v>260</v>
      </c>
      <c r="D55" s="80" t="s">
        <v>69</v>
      </c>
      <c r="E55" s="81">
        <v>0.25</v>
      </c>
      <c r="F55" s="81">
        <v>0.25</v>
      </c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</row>
    <row r="56" ht="15.75" customHeight="1">
      <c r="A56" s="43"/>
      <c r="B56" s="91" t="s">
        <v>296</v>
      </c>
      <c r="C56" s="80" t="s">
        <v>69</v>
      </c>
      <c r="D56" s="80" t="s">
        <v>260</v>
      </c>
      <c r="E56" s="81">
        <v>2.0</v>
      </c>
      <c r="F56" s="81">
        <v>0.5</v>
      </c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</row>
    <row r="57" ht="18.0" customHeight="1">
      <c r="A57" s="43"/>
      <c r="B57" s="91" t="s">
        <v>297</v>
      </c>
      <c r="C57" s="80" t="s">
        <v>254</v>
      </c>
      <c r="D57" s="80" t="s">
        <v>137</v>
      </c>
      <c r="E57" s="81">
        <v>0.25</v>
      </c>
      <c r="F57" s="81">
        <v>0.25</v>
      </c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</row>
    <row r="58" ht="15.75" customHeight="1">
      <c r="A58" s="43"/>
      <c r="B58" s="91" t="s">
        <v>298</v>
      </c>
      <c r="C58" s="80" t="s">
        <v>137</v>
      </c>
      <c r="D58" s="80" t="s">
        <v>68</v>
      </c>
      <c r="E58" s="81">
        <v>0.25</v>
      </c>
      <c r="F58" s="81">
        <v>0.25</v>
      </c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 ht="15.75" customHeight="1">
      <c r="A59" s="43"/>
      <c r="B59" s="91" t="s">
        <v>299</v>
      </c>
      <c r="C59" s="80" t="s">
        <v>179</v>
      </c>
      <c r="D59" s="80" t="s">
        <v>52</v>
      </c>
      <c r="E59" s="81">
        <v>0.5</v>
      </c>
      <c r="F59" s="81">
        <v>0.25</v>
      </c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</row>
    <row r="60" ht="15.75" customHeight="1">
      <c r="A60" s="43"/>
      <c r="B60" s="91" t="s">
        <v>300</v>
      </c>
      <c r="C60" s="80" t="s">
        <v>260</v>
      </c>
      <c r="D60" s="80" t="s">
        <v>69</v>
      </c>
      <c r="E60" s="81">
        <v>1.0</v>
      </c>
      <c r="F60" s="81">
        <v>0.25</v>
      </c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ht="15.75" customHeight="1">
      <c r="A61" s="43"/>
      <c r="B61" s="91" t="s">
        <v>301</v>
      </c>
      <c r="C61" s="80" t="s">
        <v>80</v>
      </c>
      <c r="D61" s="80" t="s">
        <v>80</v>
      </c>
      <c r="E61" s="81" t="s">
        <v>80</v>
      </c>
      <c r="F61" s="81">
        <v>2.0</v>
      </c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ht="15.75" customHeight="1">
      <c r="A62" s="43"/>
      <c r="B62" s="91" t="s">
        <v>302</v>
      </c>
      <c r="C62" s="80" t="s">
        <v>80</v>
      </c>
      <c r="D62" s="80" t="s">
        <v>80</v>
      </c>
      <c r="E62" s="81" t="s">
        <v>80</v>
      </c>
      <c r="F62" s="81">
        <v>2.0</v>
      </c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ht="18.0" customHeight="1">
      <c r="A63" s="54"/>
      <c r="B63" s="91" t="s">
        <v>303</v>
      </c>
      <c r="C63" s="80" t="s">
        <v>80</v>
      </c>
      <c r="D63" s="80" t="s">
        <v>80</v>
      </c>
      <c r="E63" s="81" t="s">
        <v>80</v>
      </c>
      <c r="F63" s="81">
        <v>0.5</v>
      </c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ht="15.75" customHeight="1">
      <c r="A64" s="43"/>
      <c r="B64" s="91" t="s">
        <v>304</v>
      </c>
      <c r="C64" s="80" t="s">
        <v>80</v>
      </c>
      <c r="D64" s="80" t="s">
        <v>80</v>
      </c>
      <c r="E64" s="81" t="s">
        <v>80</v>
      </c>
      <c r="F64" s="81">
        <v>2.5</v>
      </c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ht="15.75" customHeight="1">
      <c r="A65" s="43"/>
      <c r="B65" s="91" t="s">
        <v>305</v>
      </c>
      <c r="C65" s="80" t="s">
        <v>80</v>
      </c>
      <c r="D65" s="80" t="s">
        <v>80</v>
      </c>
      <c r="E65" s="81" t="s">
        <v>80</v>
      </c>
      <c r="F65" s="81">
        <v>1.0</v>
      </c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ht="15.75" customHeight="1">
      <c r="A66" s="43"/>
      <c r="B66" s="92" t="s">
        <v>38</v>
      </c>
      <c r="C66" s="93"/>
      <c r="D66" s="93"/>
      <c r="E66" s="94">
        <f t="shared" ref="E66:F66" si="12">SUM(E44:E65)</f>
        <v>25.75</v>
      </c>
      <c r="F66" s="94">
        <f t="shared" si="12"/>
        <v>15</v>
      </c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ht="18.0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ht="15.75" customHeight="1">
      <c r="A69" s="43"/>
      <c r="B69" s="89" t="s">
        <v>306</v>
      </c>
      <c r="C69" s="45"/>
      <c r="D69" s="45"/>
      <c r="E69" s="45"/>
      <c r="F69" s="46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ht="15.75" customHeight="1">
      <c r="A70" s="43"/>
      <c r="B70" s="90" t="s">
        <v>45</v>
      </c>
      <c r="C70" s="90" t="s">
        <v>46</v>
      </c>
      <c r="D70" s="90" t="s">
        <v>47</v>
      </c>
      <c r="E70" s="90" t="s">
        <v>48</v>
      </c>
      <c r="F70" s="90" t="s">
        <v>49</v>
      </c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ht="15.75" customHeight="1">
      <c r="A71" s="43"/>
      <c r="B71" s="91" t="s">
        <v>307</v>
      </c>
      <c r="C71" s="80" t="s">
        <v>179</v>
      </c>
      <c r="D71" s="80" t="s">
        <v>52</v>
      </c>
      <c r="E71" s="81">
        <v>5.0</v>
      </c>
      <c r="F71" s="81">
        <v>5.0</v>
      </c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ht="15.75" customHeight="1">
      <c r="A72" s="43"/>
      <c r="B72" s="91" t="s">
        <v>308</v>
      </c>
      <c r="C72" s="80" t="s">
        <v>52</v>
      </c>
      <c r="D72" s="80" t="s">
        <v>179</v>
      </c>
      <c r="E72" s="81">
        <v>4.0</v>
      </c>
      <c r="F72" s="81">
        <v>5.0</v>
      </c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ht="15.75" customHeight="1">
      <c r="A73" s="43"/>
      <c r="B73" s="91" t="s">
        <v>309</v>
      </c>
      <c r="C73" s="80" t="s">
        <v>80</v>
      </c>
      <c r="D73" s="80" t="s">
        <v>80</v>
      </c>
      <c r="E73" s="81" t="s">
        <v>80</v>
      </c>
      <c r="F73" s="81">
        <v>6.0</v>
      </c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ht="18.0" customHeight="1">
      <c r="A74" s="54"/>
      <c r="B74" s="91" t="s">
        <v>310</v>
      </c>
      <c r="C74" s="80" t="s">
        <v>80</v>
      </c>
      <c r="D74" s="80" t="s">
        <v>80</v>
      </c>
      <c r="E74" s="81" t="s">
        <v>80</v>
      </c>
      <c r="F74" s="81">
        <v>4.0</v>
      </c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ht="15.75" customHeight="1">
      <c r="A75" s="43"/>
      <c r="B75" s="91" t="s">
        <v>311</v>
      </c>
      <c r="C75" s="80" t="s">
        <v>80</v>
      </c>
      <c r="D75" s="80" t="s">
        <v>80</v>
      </c>
      <c r="E75" s="81" t="s">
        <v>80</v>
      </c>
      <c r="F75" s="81">
        <v>5.0</v>
      </c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ht="15.75" customHeight="1">
      <c r="A76" s="43"/>
      <c r="B76" s="92" t="s">
        <v>38</v>
      </c>
      <c r="C76" s="93"/>
      <c r="D76" s="93"/>
      <c r="E76" s="94">
        <f t="shared" ref="E76:F76" si="13">SUM(E71:E75)</f>
        <v>9</v>
      </c>
      <c r="F76" s="94">
        <f t="shared" si="13"/>
        <v>25</v>
      </c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ht="15.75" customHeight="1">
      <c r="A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ht="15.75" customHeight="1">
      <c r="A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ht="15.75" customHeight="1">
      <c r="A79" s="43"/>
      <c r="B79" s="89" t="s">
        <v>172</v>
      </c>
      <c r="C79" s="45"/>
      <c r="D79" s="45"/>
      <c r="E79" s="45"/>
      <c r="F79" s="46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ht="15.75" customHeight="1">
      <c r="A80" s="43"/>
      <c r="B80" s="90" t="s">
        <v>45</v>
      </c>
      <c r="C80" s="90" t="s">
        <v>46</v>
      </c>
      <c r="D80" s="90" t="s">
        <v>47</v>
      </c>
      <c r="E80" s="90" t="s">
        <v>48</v>
      </c>
      <c r="F80" s="90" t="s">
        <v>49</v>
      </c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ht="18.0" customHeight="1">
      <c r="A81" s="43"/>
      <c r="B81" s="91" t="s">
        <v>312</v>
      </c>
      <c r="C81" s="80" t="s">
        <v>137</v>
      </c>
      <c r="D81" s="80" t="s">
        <v>260</v>
      </c>
      <c r="E81" s="81">
        <v>1.5</v>
      </c>
      <c r="F81" s="81">
        <v>0.5</v>
      </c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ht="15.75" customHeight="1">
      <c r="A82" s="43"/>
      <c r="B82" s="91" t="s">
        <v>313</v>
      </c>
      <c r="C82" s="80" t="s">
        <v>137</v>
      </c>
      <c r="D82" s="80" t="s">
        <v>260</v>
      </c>
      <c r="E82" s="81">
        <v>1.5</v>
      </c>
      <c r="F82" s="81">
        <v>0.25</v>
      </c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ht="15.75" customHeight="1">
      <c r="A83" s="43"/>
      <c r="B83" s="91" t="s">
        <v>314</v>
      </c>
      <c r="C83" s="80" t="s">
        <v>260</v>
      </c>
      <c r="D83" s="80" t="s">
        <v>137</v>
      </c>
      <c r="E83" s="81">
        <v>2.0</v>
      </c>
      <c r="F83" s="81">
        <v>0.5</v>
      </c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ht="15.75" customHeight="1">
      <c r="A84" s="43"/>
      <c r="B84" s="91" t="s">
        <v>315</v>
      </c>
      <c r="C84" s="80" t="s">
        <v>260</v>
      </c>
      <c r="D84" s="80" t="s">
        <v>137</v>
      </c>
      <c r="E84" s="81">
        <v>0.5</v>
      </c>
      <c r="F84" s="81">
        <v>0.25</v>
      </c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ht="15.75" customHeight="1">
      <c r="A85" s="43"/>
      <c r="B85" s="91" t="s">
        <v>316</v>
      </c>
      <c r="C85" s="80" t="s">
        <v>69</v>
      </c>
      <c r="D85" s="80" t="s">
        <v>179</v>
      </c>
      <c r="E85" s="81">
        <v>1.0</v>
      </c>
      <c r="F85" s="81">
        <v>0.5</v>
      </c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ht="15.75" customHeight="1">
      <c r="A86" s="43"/>
      <c r="B86" s="91" t="s">
        <v>317</v>
      </c>
      <c r="C86" s="80" t="s">
        <v>137</v>
      </c>
      <c r="D86" s="80" t="s">
        <v>260</v>
      </c>
      <c r="E86" s="81">
        <v>0.5</v>
      </c>
      <c r="F86" s="81">
        <v>0.25</v>
      </c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</row>
    <row r="87" ht="15.75" customHeight="1">
      <c r="A87" s="54"/>
      <c r="B87" s="91" t="s">
        <v>318</v>
      </c>
      <c r="C87" s="80" t="s">
        <v>137</v>
      </c>
      <c r="D87" s="80" t="s">
        <v>260</v>
      </c>
      <c r="E87" s="81">
        <v>3.0</v>
      </c>
      <c r="F87" s="81">
        <v>1.0</v>
      </c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</row>
    <row r="88" ht="15.75" customHeight="1">
      <c r="A88" s="43"/>
      <c r="B88" s="91" t="s">
        <v>319</v>
      </c>
      <c r="C88" s="80" t="s">
        <v>254</v>
      </c>
      <c r="D88" s="80" t="s">
        <v>137</v>
      </c>
      <c r="E88" s="81">
        <v>2.0</v>
      </c>
      <c r="F88" s="81">
        <v>0.5</v>
      </c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</row>
    <row r="89" ht="15.75" customHeight="1">
      <c r="A89" s="43"/>
      <c r="B89" s="91" t="s">
        <v>320</v>
      </c>
      <c r="C89" s="80" t="s">
        <v>254</v>
      </c>
      <c r="D89" s="80" t="s">
        <v>137</v>
      </c>
      <c r="E89" s="81">
        <v>1.5</v>
      </c>
      <c r="F89" s="81">
        <v>0.5</v>
      </c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</row>
    <row r="90" ht="15.75" customHeight="1">
      <c r="A90" s="43"/>
      <c r="B90" s="91" t="s">
        <v>321</v>
      </c>
      <c r="C90" s="80" t="s">
        <v>137</v>
      </c>
      <c r="D90" s="80" t="s">
        <v>254</v>
      </c>
      <c r="E90" s="81">
        <v>0.75</v>
      </c>
      <c r="F90" s="81">
        <v>0.25</v>
      </c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</row>
    <row r="91" ht="15.75" customHeight="1">
      <c r="A91" s="43"/>
      <c r="B91" s="91" t="s">
        <v>322</v>
      </c>
      <c r="C91" s="80" t="s">
        <v>69</v>
      </c>
      <c r="D91" s="80" t="s">
        <v>179</v>
      </c>
      <c r="E91" s="81">
        <v>0.5</v>
      </c>
      <c r="F91" s="81">
        <v>0.25</v>
      </c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</row>
    <row r="92" ht="15.75" customHeight="1">
      <c r="A92" s="43"/>
      <c r="B92" s="91" t="s">
        <v>323</v>
      </c>
      <c r="C92" s="80" t="s">
        <v>254</v>
      </c>
      <c r="D92" s="80" t="s">
        <v>61</v>
      </c>
      <c r="E92" s="81">
        <v>1.0</v>
      </c>
      <c r="F92" s="81">
        <v>0.5</v>
      </c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</row>
    <row r="93" ht="15.75" customHeight="1">
      <c r="A93" s="43"/>
      <c r="B93" s="91" t="s">
        <v>324</v>
      </c>
      <c r="C93" s="80" t="s">
        <v>137</v>
      </c>
      <c r="D93" s="80" t="s">
        <v>254</v>
      </c>
      <c r="E93" s="81">
        <v>2.0</v>
      </c>
      <c r="F93" s="81">
        <v>1.0</v>
      </c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</row>
    <row r="94" ht="15.75" customHeight="1">
      <c r="A94" s="43"/>
      <c r="B94" s="91" t="s">
        <v>325</v>
      </c>
      <c r="C94" s="80" t="s">
        <v>254</v>
      </c>
      <c r="D94" s="80" t="s">
        <v>61</v>
      </c>
      <c r="E94" s="81">
        <v>0.25</v>
      </c>
      <c r="F94" s="81">
        <v>0.25</v>
      </c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</row>
    <row r="95" ht="15.75" customHeight="1">
      <c r="A95" s="43"/>
      <c r="B95" s="91" t="s">
        <v>326</v>
      </c>
      <c r="C95" s="80" t="s">
        <v>61</v>
      </c>
      <c r="D95" s="80" t="s">
        <v>53</v>
      </c>
      <c r="E95" s="81">
        <v>2.25</v>
      </c>
      <c r="F95" s="81">
        <v>1.0</v>
      </c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</row>
    <row r="96" ht="15.75" customHeight="1">
      <c r="A96" s="43"/>
      <c r="B96" s="91" t="s">
        <v>327</v>
      </c>
      <c r="C96" s="80" t="s">
        <v>61</v>
      </c>
      <c r="D96" s="80" t="s">
        <v>53</v>
      </c>
      <c r="E96" s="81">
        <v>1.25</v>
      </c>
      <c r="F96" s="81">
        <v>0.5</v>
      </c>
      <c r="G96" s="58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</row>
    <row r="97" ht="15.75" customHeight="1">
      <c r="A97" s="43"/>
      <c r="B97" s="91" t="s">
        <v>328</v>
      </c>
      <c r="C97" s="80" t="s">
        <v>260</v>
      </c>
      <c r="D97" s="80" t="s">
        <v>69</v>
      </c>
      <c r="E97" s="81">
        <v>0.5</v>
      </c>
      <c r="F97" s="81">
        <v>0.5</v>
      </c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</row>
    <row r="98" ht="15.75" customHeight="1">
      <c r="A98" s="43"/>
      <c r="B98" s="91" t="s">
        <v>329</v>
      </c>
      <c r="C98" s="80" t="s">
        <v>199</v>
      </c>
      <c r="D98" s="80" t="s">
        <v>68</v>
      </c>
      <c r="E98" s="81">
        <v>2.0</v>
      </c>
      <c r="F98" s="81">
        <v>0.5</v>
      </c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</row>
    <row r="99" ht="15.75" customHeight="1">
      <c r="A99" s="43"/>
      <c r="B99" s="91" t="s">
        <v>330</v>
      </c>
      <c r="C99" s="80" t="s">
        <v>260</v>
      </c>
      <c r="D99" s="80" t="s">
        <v>69</v>
      </c>
      <c r="E99" s="81">
        <v>1.0</v>
      </c>
      <c r="F99" s="81">
        <v>0.5</v>
      </c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</row>
    <row r="100" ht="15.75" customHeight="1">
      <c r="A100" s="43"/>
      <c r="B100" s="91" t="s">
        <v>331</v>
      </c>
      <c r="C100" s="80" t="s">
        <v>199</v>
      </c>
      <c r="D100" s="80" t="s">
        <v>68</v>
      </c>
      <c r="E100" s="81">
        <v>3.0</v>
      </c>
      <c r="F100" s="81">
        <v>0.5</v>
      </c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</row>
    <row r="101" ht="15.75" customHeight="1">
      <c r="A101" s="43"/>
      <c r="B101" s="92" t="s">
        <v>38</v>
      </c>
      <c r="C101" s="93"/>
      <c r="D101" s="93"/>
      <c r="E101" s="94">
        <f t="shared" ref="E101:F101" si="14">SUM(E81:E100)</f>
        <v>28</v>
      </c>
      <c r="F101" s="94">
        <f t="shared" si="14"/>
        <v>10</v>
      </c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</row>
    <row r="102" ht="15.75" customHeight="1">
      <c r="A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</row>
    <row r="103" ht="15.75" customHeight="1">
      <c r="A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</row>
    <row r="104" ht="15.75" customHeight="1">
      <c r="A104" s="43"/>
      <c r="B104" s="89" t="s">
        <v>332</v>
      </c>
      <c r="C104" s="45"/>
      <c r="D104" s="45"/>
      <c r="E104" s="45"/>
      <c r="F104" s="46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</row>
    <row r="105" ht="14.25" customHeight="1">
      <c r="A105" s="43"/>
      <c r="B105" s="90" t="s">
        <v>45</v>
      </c>
      <c r="C105" s="90" t="s">
        <v>46</v>
      </c>
      <c r="D105" s="90" t="s">
        <v>47</v>
      </c>
      <c r="E105" s="90" t="s">
        <v>48</v>
      </c>
      <c r="F105" s="90" t="s">
        <v>49</v>
      </c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</row>
    <row r="106" ht="14.25" customHeight="1">
      <c r="A106" s="43"/>
      <c r="B106" s="91" t="s">
        <v>333</v>
      </c>
      <c r="C106" s="80" t="s">
        <v>68</v>
      </c>
      <c r="D106" s="80" t="s">
        <v>52</v>
      </c>
      <c r="E106" s="81">
        <v>0.5</v>
      </c>
      <c r="F106" s="81">
        <v>0.5</v>
      </c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</row>
    <row r="107" ht="14.25" customHeight="1">
      <c r="A107" s="43"/>
      <c r="B107" s="91" t="s">
        <v>334</v>
      </c>
      <c r="C107" s="80" t="s">
        <v>69</v>
      </c>
      <c r="D107" s="80" t="s">
        <v>80</v>
      </c>
      <c r="E107" s="81">
        <v>2.5</v>
      </c>
      <c r="F107" s="81">
        <v>2.0</v>
      </c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</row>
    <row r="108" ht="14.25" customHeight="1">
      <c r="A108" s="43"/>
      <c r="B108" s="91" t="s">
        <v>335</v>
      </c>
      <c r="C108" s="80" t="s">
        <v>69</v>
      </c>
      <c r="D108" s="80" t="s">
        <v>80</v>
      </c>
      <c r="E108" s="81">
        <v>2.0</v>
      </c>
      <c r="F108" s="81">
        <v>1.0</v>
      </c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</row>
    <row r="109" ht="14.25" customHeight="1">
      <c r="A109" s="43"/>
      <c r="B109" s="91" t="s">
        <v>336</v>
      </c>
      <c r="C109" s="80" t="s">
        <v>69</v>
      </c>
      <c r="D109" s="80" t="s">
        <v>80</v>
      </c>
      <c r="E109" s="81">
        <v>1.0</v>
      </c>
      <c r="F109" s="81">
        <v>0.5</v>
      </c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</row>
    <row r="110" ht="14.25" customHeight="1">
      <c r="A110" s="43"/>
      <c r="B110" s="91" t="s">
        <v>337</v>
      </c>
      <c r="C110" s="80" t="s">
        <v>69</v>
      </c>
      <c r="D110" s="80" t="s">
        <v>260</v>
      </c>
      <c r="E110" s="81">
        <v>1.0</v>
      </c>
      <c r="F110" s="81">
        <v>1.0</v>
      </c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</row>
    <row r="111" ht="14.25" customHeight="1">
      <c r="A111" s="43"/>
      <c r="B111" s="91" t="s">
        <v>338</v>
      </c>
      <c r="C111" s="80" t="s">
        <v>260</v>
      </c>
      <c r="D111" s="80" t="s">
        <v>80</v>
      </c>
      <c r="E111" s="81">
        <v>0.5</v>
      </c>
      <c r="F111" s="81">
        <v>0.5</v>
      </c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</row>
    <row r="112" ht="14.25" customHeight="1">
      <c r="A112" s="43"/>
      <c r="B112" s="91" t="s">
        <v>339</v>
      </c>
      <c r="C112" s="80" t="s">
        <v>340</v>
      </c>
      <c r="D112" s="80" t="s">
        <v>80</v>
      </c>
      <c r="E112" s="81">
        <v>1.0</v>
      </c>
      <c r="F112" s="81">
        <v>0.5</v>
      </c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</row>
    <row r="113" ht="14.25" customHeight="1">
      <c r="A113" s="43"/>
      <c r="B113" s="92" t="s">
        <v>38</v>
      </c>
      <c r="C113" s="93"/>
      <c r="D113" s="93"/>
      <c r="E113" s="94">
        <f t="shared" ref="E113:F113" si="15">SUM(E106:E112)</f>
        <v>8.5</v>
      </c>
      <c r="F113" s="94">
        <f t="shared" si="15"/>
        <v>6</v>
      </c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</row>
    <row r="114" ht="14.25" customHeight="1">
      <c r="A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</row>
    <row r="115" ht="14.2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</row>
    <row r="116" ht="14.2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</row>
    <row r="117" ht="14.2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</row>
    <row r="118" ht="14.2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</row>
    <row r="119" ht="14.2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</row>
    <row r="120" ht="14.2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</row>
    <row r="121" ht="14.2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</row>
    <row r="122" ht="14.2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</row>
    <row r="123" ht="14.2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</row>
    <row r="124" ht="14.2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</row>
    <row r="125" ht="14.2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</row>
    <row r="126" ht="14.2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</row>
    <row r="127" ht="14.2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</row>
    <row r="128" ht="14.2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</row>
    <row r="129" ht="14.2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</row>
    <row r="130" ht="14.2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</row>
    <row r="131" ht="14.2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</row>
    <row r="132" ht="14.2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</row>
    <row r="133" ht="14.2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</row>
    <row r="134" ht="14.2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</row>
    <row r="135" ht="14.2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</row>
    <row r="136" ht="14.2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</row>
    <row r="137" ht="14.2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</row>
    <row r="138" ht="14.2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</row>
    <row r="139" ht="14.2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</row>
    <row r="140" ht="14.2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</row>
    <row r="141" ht="14.2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</row>
    <row r="142" ht="14.2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</row>
    <row r="143" ht="14.2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</row>
    <row r="144" ht="14.2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</row>
    <row r="145" ht="14.2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</row>
    <row r="146" ht="14.2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</row>
    <row r="147" ht="14.2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</row>
    <row r="148" ht="14.2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</row>
    <row r="149" ht="14.2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</row>
    <row r="150" ht="14.2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</row>
    <row r="151" ht="14.2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</row>
    <row r="152" ht="14.2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</row>
    <row r="153" ht="14.2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</row>
    <row r="154" ht="14.2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</row>
    <row r="155" ht="14.2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</row>
    <row r="156" ht="14.2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</row>
    <row r="157" ht="14.2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</row>
    <row r="158" ht="14.2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</row>
    <row r="159" ht="14.2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</row>
    <row r="160" ht="14.2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</row>
    <row r="161" ht="14.2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</row>
    <row r="162" ht="14.2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</row>
    <row r="163" ht="14.2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</row>
    <row r="164" ht="14.2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</row>
    <row r="165" ht="14.2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</row>
    <row r="166" ht="14.2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</row>
    <row r="167" ht="14.2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</row>
    <row r="168" ht="14.2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</row>
    <row r="169" ht="14.2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</row>
    <row r="170" ht="14.2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</row>
    <row r="171" ht="14.2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</row>
    <row r="172" ht="14.2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</row>
    <row r="173" ht="14.2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</row>
    <row r="174" ht="14.2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</row>
    <row r="175" ht="14.2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</row>
    <row r="176" ht="14.2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</row>
    <row r="177" ht="14.2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</row>
    <row r="178" ht="14.2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</row>
    <row r="179" ht="14.2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</row>
    <row r="180" ht="14.2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</row>
    <row r="181" ht="14.2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</row>
    <row r="182" ht="14.2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</row>
    <row r="183" ht="14.2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</row>
    <row r="184" ht="14.2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</row>
    <row r="185" ht="14.2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</row>
    <row r="186" ht="14.2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</row>
    <row r="187" ht="14.2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</row>
    <row r="188" ht="14.2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</row>
    <row r="189" ht="14.2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</row>
    <row r="190" ht="14.2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</row>
    <row r="191" ht="14.2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</row>
    <row r="192" ht="14.2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</row>
    <row r="193" ht="14.2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</row>
    <row r="194" ht="14.2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</row>
    <row r="195" ht="14.2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</row>
    <row r="196" ht="14.2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</row>
    <row r="197" ht="14.2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</row>
    <row r="198" ht="14.2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</row>
    <row r="199" ht="14.2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</row>
    <row r="200" ht="14.2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</row>
    <row r="201" ht="14.2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</row>
    <row r="202" ht="14.2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</row>
    <row r="203" ht="14.2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</row>
    <row r="204" ht="14.2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</row>
    <row r="205" ht="14.2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</row>
    <row r="206" ht="14.2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</row>
    <row r="207" ht="14.2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</row>
    <row r="208" ht="14.2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</row>
    <row r="209" ht="14.2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</row>
    <row r="210" ht="14.2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</row>
    <row r="211" ht="14.2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</row>
    <row r="212" ht="14.2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</row>
    <row r="213" ht="14.2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</row>
    <row r="214" ht="14.2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</row>
    <row r="215" ht="14.2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</row>
    <row r="216" ht="14.2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</row>
    <row r="217" ht="14.2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</row>
    <row r="218" ht="14.2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</row>
    <row r="219" ht="14.2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</row>
    <row r="220" ht="14.2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</row>
    <row r="221" ht="14.2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</row>
    <row r="222" ht="14.2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</row>
    <row r="223" ht="14.2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</row>
    <row r="224" ht="14.2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</row>
    <row r="225" ht="14.2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</row>
    <row r="226" ht="14.2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</row>
    <row r="227" ht="14.2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</row>
    <row r="228" ht="14.2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</row>
    <row r="229" ht="14.2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</row>
    <row r="230" ht="14.2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</row>
    <row r="231" ht="14.2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</row>
    <row r="232" ht="14.2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</row>
    <row r="233" ht="14.2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</row>
    <row r="234" ht="14.2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</row>
    <row r="235" ht="14.2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</row>
    <row r="236" ht="14.2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</row>
    <row r="237" ht="14.2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</row>
    <row r="238" ht="14.2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</row>
    <row r="239" ht="14.2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</row>
    <row r="240" ht="14.2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</row>
    <row r="241" ht="14.2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</row>
    <row r="242" ht="14.2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</row>
    <row r="243" ht="14.2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</row>
    <row r="244" ht="14.2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</row>
    <row r="245" ht="14.2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</row>
    <row r="246" ht="14.2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</row>
    <row r="247" ht="14.2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</row>
    <row r="248" ht="14.2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</row>
    <row r="249" ht="14.2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</row>
    <row r="250" ht="14.2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</row>
    <row r="251" ht="14.2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</row>
    <row r="252" ht="14.2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</row>
    <row r="253" ht="14.2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</row>
    <row r="254" ht="14.2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</row>
    <row r="255" ht="14.2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</row>
    <row r="256" ht="14.2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</row>
    <row r="257" ht="14.2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</row>
    <row r="258" ht="14.2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</row>
    <row r="259" ht="14.2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</row>
    <row r="260" ht="14.2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</row>
    <row r="261" ht="14.25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</row>
    <row r="262" ht="14.2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</row>
    <row r="263" ht="14.25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</row>
    <row r="264" ht="14.25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</row>
    <row r="265" ht="14.25" customHeight="1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</row>
    <row r="266" ht="14.25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</row>
    <row r="267" ht="14.25" customHeight="1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</row>
    <row r="268" ht="14.25" customHeight="1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</row>
    <row r="269" ht="14.25" customHeight="1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</row>
    <row r="270" ht="14.25" customHeight="1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</row>
    <row r="271" ht="14.25" customHeight="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</row>
    <row r="272" ht="14.25" customHeight="1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</row>
    <row r="273" ht="14.25" customHeight="1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</row>
    <row r="274" ht="14.25" customHeight="1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</row>
    <row r="275" ht="14.25" customHeight="1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</row>
    <row r="276" ht="14.25" customHeight="1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</row>
    <row r="277" ht="14.25" customHeight="1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</row>
    <row r="278" ht="14.25" customHeight="1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</row>
    <row r="279" ht="14.25" customHeight="1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</row>
    <row r="280" ht="14.25" customHeight="1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</row>
    <row r="281" ht="14.25" customHeight="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</row>
    <row r="282" ht="14.25" customHeight="1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</row>
    <row r="283" ht="14.25" customHeight="1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</row>
    <row r="284" ht="14.25" customHeight="1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</row>
    <row r="285" ht="14.25" customHeight="1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</row>
    <row r="286" ht="14.25" customHeight="1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</row>
    <row r="287" ht="14.25" customHeight="1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</row>
    <row r="288" ht="14.25" customHeight="1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</row>
    <row r="289" ht="14.25" customHeight="1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</row>
    <row r="290" ht="14.25" customHeight="1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</row>
    <row r="291" ht="14.25" customHeight="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</row>
    <row r="292" ht="14.25" customHeight="1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</row>
    <row r="293" ht="14.25" customHeight="1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</row>
    <row r="294" ht="14.25" customHeight="1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</row>
    <row r="295" ht="14.25" customHeight="1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</row>
    <row r="296" ht="14.25" customHeight="1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</row>
    <row r="297" ht="14.25" customHeight="1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</row>
    <row r="298" ht="14.25" customHeight="1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</row>
    <row r="299" ht="14.25" customHeight="1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</row>
    <row r="300" ht="14.25" customHeight="1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</row>
    <row r="301" ht="14.25" customHeight="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</row>
    <row r="302" ht="14.25" customHeight="1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</row>
    <row r="303" ht="14.25" customHeight="1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</row>
    <row r="304" ht="14.25" customHeight="1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</row>
    <row r="305" ht="14.25" customHeight="1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</row>
    <row r="306" ht="14.25" customHeight="1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</row>
    <row r="307" ht="14.25" customHeight="1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</row>
    <row r="308" ht="14.25" customHeight="1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</row>
    <row r="309" ht="14.25" customHeight="1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</row>
    <row r="310" ht="14.25" customHeight="1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</row>
    <row r="311" ht="14.25" customHeight="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</row>
    <row r="312" ht="14.25" customHeight="1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</row>
    <row r="313" ht="14.25" customHeight="1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</row>
    <row r="314" ht="14.25" customHeight="1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</row>
    <row r="315" ht="14.25" customHeight="1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</row>
    <row r="316" ht="14.25" customHeight="1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</row>
    <row r="317" ht="14.25" customHeight="1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</row>
    <row r="318" ht="14.25" customHeight="1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</row>
    <row r="319" ht="14.25" customHeight="1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</row>
    <row r="320" ht="14.25" customHeight="1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</row>
    <row r="321" ht="14.25" customHeight="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</row>
    <row r="322" ht="14.25" customHeight="1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</row>
    <row r="323" ht="14.25" customHeight="1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</row>
    <row r="324" ht="14.25" customHeight="1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</row>
    <row r="325" ht="14.25" customHeight="1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</row>
    <row r="326" ht="14.25" customHeight="1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</row>
    <row r="327" ht="14.25" customHeight="1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</row>
    <row r="328" ht="14.25" customHeight="1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</row>
    <row r="329" ht="14.25" customHeight="1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</row>
    <row r="330" ht="14.25" customHeight="1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</row>
    <row r="331" ht="14.25" customHeight="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</row>
    <row r="332" ht="14.25" customHeight="1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</row>
    <row r="333" ht="14.25" customHeight="1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</row>
    <row r="334" ht="14.25" customHeight="1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</row>
    <row r="335" ht="14.25" customHeight="1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</row>
    <row r="336" ht="14.25" customHeight="1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</row>
    <row r="337" ht="14.25" customHeight="1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</row>
    <row r="338" ht="14.25" customHeight="1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</row>
    <row r="339" ht="14.25" customHeight="1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</row>
    <row r="340" ht="14.25" customHeight="1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</row>
    <row r="341" ht="14.25" customHeight="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</row>
    <row r="342" ht="14.25" customHeight="1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</row>
    <row r="343" ht="14.25" customHeight="1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</row>
    <row r="344" ht="14.25" customHeight="1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</row>
    <row r="345" ht="14.25" customHeight="1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</row>
    <row r="346" ht="14.25" customHeight="1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</row>
    <row r="347" ht="14.25" customHeight="1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</row>
    <row r="348" ht="14.25" customHeight="1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</row>
    <row r="349" ht="14.25" customHeight="1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</row>
    <row r="350" ht="14.25" customHeight="1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</row>
    <row r="351" ht="14.25" customHeight="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</row>
    <row r="352" ht="14.25" customHeight="1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</row>
    <row r="353" ht="14.25" customHeight="1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</row>
    <row r="354" ht="14.25" customHeight="1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</row>
    <row r="355" ht="14.25" customHeight="1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</row>
    <row r="356" ht="14.25" customHeight="1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</row>
    <row r="357" ht="14.25" customHeight="1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</row>
    <row r="358" ht="14.25" customHeight="1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</row>
    <row r="359" ht="14.25" customHeight="1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</row>
    <row r="360" ht="14.25" customHeight="1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</row>
    <row r="361" ht="14.25" customHeight="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</row>
    <row r="362" ht="14.25" customHeight="1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</row>
    <row r="363" ht="14.25" customHeight="1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</row>
    <row r="364" ht="14.25" customHeight="1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</row>
    <row r="365" ht="14.25" customHeight="1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</row>
    <row r="366" ht="14.25" customHeight="1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</row>
    <row r="367" ht="14.25" customHeight="1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</row>
    <row r="368" ht="14.25" customHeight="1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</row>
    <row r="369" ht="14.25" customHeight="1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</row>
    <row r="370" ht="14.25" customHeight="1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</row>
    <row r="371" ht="14.25" customHeight="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</row>
    <row r="372" ht="14.25" customHeight="1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</row>
    <row r="373" ht="14.25" customHeight="1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</row>
    <row r="374" ht="14.25" customHeight="1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</row>
    <row r="375" ht="14.25" customHeight="1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</row>
    <row r="376" ht="14.25" customHeight="1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</row>
    <row r="377" ht="14.25" customHeight="1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</row>
    <row r="378" ht="14.25" customHeight="1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</row>
    <row r="379" ht="14.25" customHeight="1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</row>
    <row r="380" ht="14.25" customHeight="1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</row>
    <row r="381" ht="14.25" customHeight="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</row>
    <row r="382" ht="14.25" customHeight="1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</row>
    <row r="383" ht="14.25" customHeight="1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</row>
    <row r="384" ht="14.25" customHeight="1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</row>
    <row r="385" ht="14.25" customHeight="1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</row>
    <row r="386" ht="14.25" customHeight="1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</row>
    <row r="387" ht="14.25" customHeight="1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</row>
    <row r="388" ht="14.25" customHeight="1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</row>
    <row r="389" ht="14.25" customHeight="1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</row>
    <row r="390" ht="14.25" customHeight="1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</row>
    <row r="391" ht="14.25" customHeight="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</row>
    <row r="392" ht="14.25" customHeight="1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</row>
    <row r="393" ht="14.25" customHeight="1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</row>
    <row r="394" ht="14.25" customHeight="1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</row>
    <row r="395" ht="14.25" customHeight="1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</row>
    <row r="396" ht="14.25" customHeight="1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</row>
    <row r="397" ht="14.25" customHeight="1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</row>
    <row r="398" ht="14.25" customHeight="1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</row>
    <row r="399" ht="14.25" customHeight="1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</row>
    <row r="400" ht="14.25" customHeight="1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</row>
    <row r="401" ht="14.25" customHeight="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</row>
    <row r="402" ht="14.25" customHeight="1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</row>
    <row r="403" ht="14.25" customHeight="1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</row>
    <row r="404" ht="14.25" customHeight="1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</row>
    <row r="405" ht="14.25" customHeight="1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</row>
    <row r="406" ht="14.25" customHeight="1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</row>
    <row r="407" ht="14.25" customHeight="1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</row>
    <row r="408" ht="14.25" customHeight="1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</row>
    <row r="409" ht="14.25" customHeight="1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</row>
    <row r="410" ht="14.25" customHeight="1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</row>
    <row r="411" ht="14.25" customHeight="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</row>
    <row r="412" ht="14.25" customHeight="1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</row>
    <row r="413" ht="14.25" customHeight="1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</row>
    <row r="414" ht="14.25" customHeight="1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</row>
    <row r="415" ht="14.25" customHeight="1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</row>
    <row r="416" ht="14.25" customHeight="1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</row>
    <row r="417" ht="14.25" customHeight="1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</row>
    <row r="418" ht="14.25" customHeight="1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</row>
    <row r="419" ht="14.25" customHeight="1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</row>
    <row r="420" ht="14.25" customHeight="1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</row>
    <row r="421" ht="14.25" customHeight="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</row>
    <row r="422" ht="14.25" customHeight="1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</row>
    <row r="423" ht="14.25" customHeight="1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</row>
    <row r="424" ht="14.25" customHeight="1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</row>
    <row r="425" ht="14.25" customHeight="1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</row>
    <row r="426" ht="14.25" customHeight="1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</row>
    <row r="427" ht="14.25" customHeight="1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</row>
    <row r="428" ht="14.25" customHeight="1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</row>
    <row r="429" ht="14.25" customHeight="1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</row>
    <row r="430" ht="14.25" customHeight="1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</row>
    <row r="431" ht="14.25" customHeight="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</row>
    <row r="432" ht="14.25" customHeight="1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</row>
    <row r="433" ht="14.25" customHeight="1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</row>
    <row r="434" ht="14.25" customHeight="1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</row>
    <row r="435" ht="14.25" customHeight="1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</row>
    <row r="436" ht="14.25" customHeight="1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</row>
    <row r="437" ht="14.25" customHeight="1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</row>
    <row r="438" ht="14.25" customHeight="1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</row>
    <row r="439" ht="14.25" customHeight="1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</row>
    <row r="440" ht="14.25" customHeight="1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</row>
    <row r="441" ht="14.25" customHeight="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</row>
    <row r="442" ht="14.25" customHeight="1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</row>
    <row r="443" ht="14.25" customHeight="1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</row>
    <row r="444" ht="14.25" customHeight="1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</row>
    <row r="445" ht="14.25" customHeight="1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</row>
    <row r="446" ht="14.25" customHeight="1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</row>
    <row r="447" ht="14.25" customHeight="1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</row>
    <row r="448" ht="14.25" customHeight="1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</row>
    <row r="449" ht="14.25" customHeight="1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</row>
    <row r="450" ht="14.25" customHeight="1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</row>
    <row r="451" ht="14.25" customHeight="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</row>
    <row r="452" ht="14.25" customHeight="1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</row>
    <row r="453" ht="14.25" customHeight="1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</row>
    <row r="454" ht="14.25" customHeight="1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</row>
    <row r="455" ht="14.25" customHeight="1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</row>
    <row r="456" ht="14.25" customHeight="1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</row>
    <row r="457" ht="14.25" customHeight="1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</row>
    <row r="458" ht="14.25" customHeight="1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</row>
    <row r="459" ht="14.25" customHeight="1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</row>
    <row r="460" ht="14.25" customHeight="1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</row>
    <row r="461" ht="14.25" customHeight="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</row>
    <row r="462" ht="14.25" customHeight="1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</row>
    <row r="463" ht="14.25" customHeight="1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</row>
    <row r="464" ht="14.25" customHeight="1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</row>
    <row r="465" ht="14.25" customHeight="1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</row>
    <row r="466" ht="14.25" customHeight="1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</row>
    <row r="467" ht="14.25" customHeight="1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</row>
    <row r="468" ht="14.25" customHeight="1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</row>
    <row r="469" ht="14.25" customHeight="1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</row>
    <row r="470" ht="14.25" customHeight="1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</row>
    <row r="471" ht="14.25" customHeight="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</row>
    <row r="472" ht="14.25" customHeight="1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</row>
    <row r="473" ht="14.25" customHeight="1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</row>
    <row r="474" ht="14.25" customHeight="1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</row>
    <row r="475" ht="14.25" customHeight="1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</row>
    <row r="476" ht="14.25" customHeight="1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</row>
    <row r="477" ht="14.25" customHeight="1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</row>
    <row r="478" ht="14.25" customHeight="1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</row>
    <row r="479" ht="14.25" customHeight="1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</row>
    <row r="480" ht="14.25" customHeight="1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</row>
    <row r="481" ht="14.25" customHeight="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</row>
    <row r="482" ht="14.25" customHeight="1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</row>
    <row r="483" ht="14.25" customHeight="1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</row>
    <row r="484" ht="14.25" customHeight="1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</row>
    <row r="485" ht="14.25" customHeight="1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</row>
    <row r="486" ht="14.25" customHeight="1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</row>
    <row r="487" ht="14.25" customHeight="1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</row>
    <row r="488" ht="14.25" customHeight="1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</row>
    <row r="489" ht="14.25" customHeight="1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</row>
    <row r="490" ht="14.25" customHeight="1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</row>
    <row r="491" ht="14.25" customHeight="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</row>
    <row r="492" ht="14.25" customHeight="1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</row>
    <row r="493" ht="14.25" customHeight="1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</row>
    <row r="494" ht="14.25" customHeight="1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</row>
    <row r="495" ht="14.25" customHeight="1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</row>
    <row r="496" ht="14.25" customHeight="1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</row>
    <row r="497" ht="14.25" customHeight="1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</row>
    <row r="498" ht="14.25" customHeight="1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</row>
    <row r="499" ht="14.25" customHeight="1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</row>
    <row r="500" ht="14.25" customHeight="1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</row>
    <row r="501" ht="14.25" customHeight="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</row>
    <row r="502" ht="14.25" customHeight="1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</row>
    <row r="503" ht="14.25" customHeight="1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</row>
    <row r="504" ht="14.25" customHeight="1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</row>
    <row r="505" ht="14.25" customHeight="1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</row>
    <row r="506" ht="14.25" customHeight="1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</row>
    <row r="507" ht="14.25" customHeight="1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</row>
    <row r="508" ht="14.25" customHeight="1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</row>
    <row r="509" ht="14.25" customHeight="1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</row>
    <row r="510" ht="14.25" customHeight="1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</row>
    <row r="511" ht="14.25" customHeight="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</row>
    <row r="512" ht="14.25" customHeight="1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</row>
    <row r="513" ht="14.25" customHeight="1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</row>
    <row r="514" ht="14.25" customHeight="1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</row>
    <row r="515" ht="14.25" customHeight="1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</row>
    <row r="516" ht="14.25" customHeight="1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</row>
    <row r="517" ht="14.25" customHeight="1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</row>
    <row r="518" ht="14.25" customHeight="1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</row>
    <row r="519" ht="14.25" customHeight="1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</row>
    <row r="520" ht="14.25" customHeight="1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</row>
    <row r="521" ht="14.25" customHeight="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</row>
    <row r="522" ht="14.25" customHeight="1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</row>
    <row r="523" ht="14.25" customHeight="1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</row>
    <row r="524" ht="14.25" customHeight="1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</row>
    <row r="525" ht="14.25" customHeight="1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</row>
    <row r="526" ht="14.25" customHeight="1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</row>
    <row r="527" ht="14.25" customHeight="1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</row>
    <row r="528" ht="14.25" customHeight="1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</row>
    <row r="529" ht="14.25" customHeight="1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</row>
    <row r="530" ht="14.25" customHeight="1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</row>
    <row r="531" ht="14.25" customHeight="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</row>
    <row r="532" ht="14.25" customHeight="1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</row>
    <row r="533" ht="14.25" customHeight="1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</row>
    <row r="534" ht="14.25" customHeight="1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</row>
    <row r="535" ht="14.25" customHeight="1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</row>
    <row r="536" ht="14.25" customHeight="1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</row>
    <row r="537" ht="14.25" customHeight="1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</row>
    <row r="538" ht="14.25" customHeight="1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</row>
    <row r="539" ht="14.25" customHeight="1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</row>
    <row r="540" ht="14.25" customHeight="1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</row>
    <row r="541" ht="14.25" customHeight="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</row>
    <row r="542" ht="14.25" customHeight="1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</row>
    <row r="543" ht="14.25" customHeight="1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</row>
    <row r="544" ht="14.25" customHeight="1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</row>
    <row r="545" ht="14.25" customHeight="1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</row>
    <row r="546" ht="14.25" customHeight="1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</row>
    <row r="547" ht="14.25" customHeight="1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</row>
    <row r="548" ht="14.25" customHeight="1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</row>
    <row r="549" ht="14.25" customHeight="1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</row>
    <row r="550" ht="14.25" customHeight="1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</row>
    <row r="551" ht="14.25" customHeight="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</row>
    <row r="552" ht="14.25" customHeight="1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</row>
    <row r="553" ht="14.25" customHeight="1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</row>
    <row r="554" ht="14.25" customHeight="1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</row>
    <row r="555" ht="14.25" customHeight="1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</row>
    <row r="556" ht="14.25" customHeight="1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</row>
    <row r="557" ht="14.25" customHeight="1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</row>
    <row r="558" ht="14.25" customHeight="1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</row>
    <row r="559" ht="14.25" customHeight="1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</row>
    <row r="560" ht="14.25" customHeight="1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</row>
    <row r="561" ht="14.25" customHeight="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</row>
    <row r="562" ht="14.25" customHeight="1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</row>
    <row r="563" ht="14.25" customHeight="1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</row>
    <row r="564" ht="14.25" customHeight="1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</row>
    <row r="565" ht="14.25" customHeight="1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</row>
    <row r="566" ht="14.25" customHeight="1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</row>
    <row r="567" ht="14.25" customHeight="1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</row>
    <row r="568" ht="14.25" customHeight="1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</row>
    <row r="569" ht="14.25" customHeight="1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</row>
    <row r="570" ht="14.25" customHeight="1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</row>
    <row r="571" ht="14.25" customHeight="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</row>
    <row r="572" ht="14.25" customHeight="1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</row>
    <row r="573" ht="14.25" customHeight="1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</row>
    <row r="574" ht="14.25" customHeight="1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</row>
    <row r="575" ht="14.25" customHeight="1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</row>
    <row r="576" ht="14.25" customHeight="1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</row>
    <row r="577" ht="14.25" customHeight="1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</row>
    <row r="578" ht="14.25" customHeight="1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</row>
    <row r="579" ht="14.25" customHeight="1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</row>
    <row r="580" ht="14.25" customHeight="1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</row>
    <row r="581" ht="14.25" customHeight="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</row>
    <row r="582" ht="14.25" customHeight="1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</row>
    <row r="583" ht="14.25" customHeight="1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</row>
    <row r="584" ht="14.25" customHeight="1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</row>
    <row r="585" ht="14.25" customHeight="1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</row>
    <row r="586" ht="14.25" customHeight="1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</row>
    <row r="587" ht="14.25" customHeight="1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</row>
    <row r="588" ht="14.25" customHeight="1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</row>
    <row r="589" ht="14.25" customHeight="1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</row>
    <row r="590" ht="14.25" customHeight="1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</row>
    <row r="591" ht="14.25" customHeight="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</row>
    <row r="592" ht="14.25" customHeight="1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</row>
    <row r="593" ht="14.25" customHeight="1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</row>
    <row r="594" ht="14.25" customHeight="1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</row>
    <row r="595" ht="14.25" customHeight="1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</row>
    <row r="596" ht="14.25" customHeight="1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</row>
    <row r="597" ht="14.25" customHeight="1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</row>
    <row r="598" ht="14.25" customHeight="1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</row>
    <row r="599" ht="14.25" customHeight="1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</row>
    <row r="600" ht="14.25" customHeight="1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</row>
    <row r="601" ht="14.25" customHeight="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</row>
    <row r="602" ht="14.25" customHeight="1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</row>
    <row r="603" ht="14.25" customHeight="1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</row>
    <row r="604" ht="14.25" customHeight="1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</row>
    <row r="605" ht="14.25" customHeight="1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</row>
    <row r="606" ht="14.25" customHeight="1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</row>
    <row r="607" ht="14.25" customHeight="1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</row>
    <row r="608" ht="14.25" customHeight="1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</row>
    <row r="609" ht="14.25" customHeight="1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</row>
    <row r="610" ht="14.25" customHeight="1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</row>
    <row r="611" ht="14.25" customHeight="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</row>
    <row r="612" ht="14.25" customHeight="1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</row>
    <row r="613" ht="14.25" customHeight="1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</row>
    <row r="614" ht="14.25" customHeight="1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</row>
    <row r="615" ht="14.25" customHeight="1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</row>
    <row r="616" ht="14.25" customHeight="1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</row>
    <row r="617" ht="14.25" customHeight="1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</row>
    <row r="618" ht="14.25" customHeight="1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</row>
    <row r="619" ht="14.25" customHeight="1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</row>
    <row r="620" ht="14.25" customHeight="1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</row>
    <row r="621" ht="14.25" customHeight="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</row>
    <row r="622" ht="14.25" customHeight="1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</row>
    <row r="623" ht="14.25" customHeight="1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</row>
    <row r="624" ht="14.25" customHeight="1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</row>
    <row r="625" ht="14.25" customHeight="1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</row>
    <row r="626" ht="14.25" customHeight="1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</row>
    <row r="627" ht="14.25" customHeight="1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</row>
    <row r="628" ht="14.25" customHeight="1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</row>
    <row r="629" ht="14.25" customHeight="1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</row>
    <row r="630" ht="14.25" customHeight="1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</row>
    <row r="631" ht="14.25" customHeight="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</row>
    <row r="632" ht="14.25" customHeight="1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</row>
    <row r="633" ht="14.25" customHeight="1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</row>
    <row r="634" ht="14.25" customHeight="1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</row>
    <row r="635" ht="14.25" customHeight="1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</row>
    <row r="636" ht="14.25" customHeight="1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</row>
    <row r="637" ht="14.25" customHeight="1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</row>
    <row r="638" ht="14.25" customHeight="1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</row>
    <row r="639" ht="14.25" customHeight="1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</row>
    <row r="640" ht="14.25" customHeight="1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</row>
    <row r="641" ht="14.25" customHeight="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</row>
    <row r="642" ht="14.25" customHeight="1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</row>
    <row r="643" ht="14.25" customHeight="1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</row>
    <row r="644" ht="14.25" customHeight="1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</row>
    <row r="645" ht="14.25" customHeight="1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</row>
    <row r="646" ht="14.25" customHeight="1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</row>
    <row r="647" ht="14.25" customHeight="1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</row>
    <row r="648" ht="14.25" customHeight="1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</row>
    <row r="649" ht="14.25" customHeight="1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</row>
    <row r="650" ht="14.25" customHeight="1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</row>
    <row r="651" ht="14.25" customHeight="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</row>
    <row r="652" ht="14.25" customHeight="1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</row>
    <row r="653" ht="14.25" customHeight="1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</row>
    <row r="654" ht="14.25" customHeight="1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</row>
    <row r="655" ht="14.25" customHeight="1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</row>
    <row r="656" ht="14.25" customHeight="1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</row>
    <row r="657" ht="14.25" customHeight="1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</row>
    <row r="658" ht="14.25" customHeight="1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</row>
    <row r="659" ht="14.25" customHeight="1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</row>
    <row r="660" ht="14.25" customHeight="1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</row>
    <row r="661" ht="14.25" customHeight="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</row>
    <row r="662" ht="14.25" customHeight="1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</row>
    <row r="663" ht="14.25" customHeight="1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</row>
    <row r="664" ht="14.25" customHeight="1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</row>
    <row r="665" ht="14.25" customHeight="1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</row>
    <row r="666" ht="14.25" customHeight="1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</row>
    <row r="667" ht="14.25" customHeight="1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</row>
    <row r="668" ht="14.25" customHeight="1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</row>
    <row r="669" ht="14.25" customHeight="1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</row>
    <row r="670" ht="14.25" customHeight="1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</row>
    <row r="671" ht="14.25" customHeight="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</row>
    <row r="672" ht="14.25" customHeight="1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</row>
    <row r="673" ht="14.25" customHeight="1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</row>
    <row r="674" ht="14.25" customHeight="1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</row>
    <row r="675" ht="14.25" customHeight="1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</row>
    <row r="676" ht="14.25" customHeight="1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</row>
    <row r="677" ht="14.25" customHeight="1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</row>
    <row r="678" ht="14.25" customHeight="1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</row>
    <row r="679" ht="14.25" customHeight="1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</row>
    <row r="680" ht="14.25" customHeight="1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</row>
    <row r="681" ht="14.25" customHeight="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</row>
    <row r="682" ht="14.25" customHeight="1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</row>
    <row r="683" ht="14.25" customHeight="1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</row>
    <row r="684" ht="14.25" customHeight="1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</row>
    <row r="685" ht="14.25" customHeight="1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</row>
    <row r="686" ht="14.25" customHeight="1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</row>
    <row r="687" ht="14.25" customHeight="1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</row>
    <row r="688" ht="14.25" customHeight="1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</row>
    <row r="689" ht="14.25" customHeight="1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</row>
    <row r="690" ht="14.25" customHeight="1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</row>
    <row r="691" ht="14.25" customHeight="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</row>
    <row r="692" ht="14.25" customHeight="1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</row>
    <row r="693" ht="14.25" customHeight="1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</row>
    <row r="694" ht="14.25" customHeight="1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</row>
    <row r="695" ht="14.25" customHeight="1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</row>
    <row r="696" ht="14.25" customHeight="1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</row>
    <row r="697" ht="14.25" customHeight="1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</row>
    <row r="698" ht="14.25" customHeight="1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</row>
    <row r="699" ht="14.25" customHeight="1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</row>
    <row r="700" ht="14.25" customHeight="1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</row>
    <row r="701" ht="14.25" customHeight="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</row>
    <row r="702" ht="14.25" customHeight="1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</row>
    <row r="703" ht="14.25" customHeight="1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</row>
    <row r="704" ht="14.25" customHeight="1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</row>
    <row r="705" ht="14.25" customHeight="1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</row>
    <row r="706" ht="14.25" customHeight="1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</row>
    <row r="707" ht="14.25" customHeight="1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</row>
    <row r="708" ht="14.25" customHeight="1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</row>
    <row r="709" ht="14.25" customHeight="1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</row>
    <row r="710" ht="14.25" customHeight="1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</row>
    <row r="711" ht="14.25" customHeight="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</row>
    <row r="712" ht="14.25" customHeight="1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</row>
    <row r="713" ht="14.25" customHeight="1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</row>
    <row r="714" ht="14.25" customHeight="1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</row>
    <row r="715" ht="14.25" customHeight="1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</row>
    <row r="716" ht="14.25" customHeight="1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</row>
    <row r="717" ht="14.25" customHeight="1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</row>
    <row r="718" ht="14.25" customHeight="1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</row>
    <row r="719" ht="14.25" customHeight="1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</row>
    <row r="720" ht="14.25" customHeight="1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</row>
    <row r="721" ht="14.25" customHeight="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</row>
    <row r="722" ht="14.25" customHeight="1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</row>
    <row r="723" ht="14.25" customHeight="1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</row>
    <row r="724" ht="14.25" customHeight="1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</row>
    <row r="725" ht="14.25" customHeight="1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</row>
    <row r="726" ht="14.25" customHeight="1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</row>
    <row r="727" ht="14.25" customHeight="1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</row>
    <row r="728" ht="14.25" customHeight="1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</row>
    <row r="729" ht="14.25" customHeight="1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</row>
    <row r="730" ht="14.25" customHeight="1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</row>
    <row r="731" ht="14.25" customHeight="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</row>
    <row r="732" ht="14.25" customHeight="1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</row>
    <row r="733" ht="14.25" customHeight="1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</row>
    <row r="734" ht="14.25" customHeight="1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</row>
    <row r="735" ht="14.25" customHeight="1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</row>
    <row r="736" ht="14.25" customHeight="1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</row>
    <row r="737" ht="14.25" customHeight="1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</row>
    <row r="738" ht="14.25" customHeight="1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</row>
    <row r="739" ht="14.25" customHeight="1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</row>
    <row r="740" ht="14.25" customHeight="1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</row>
    <row r="741" ht="14.25" customHeight="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</row>
    <row r="742" ht="14.25" customHeight="1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</row>
    <row r="743" ht="14.25" customHeight="1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</row>
    <row r="744" ht="14.25" customHeight="1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</row>
    <row r="745" ht="14.25" customHeight="1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</row>
    <row r="746" ht="14.25" customHeight="1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</row>
    <row r="747" ht="14.25" customHeight="1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</row>
    <row r="748" ht="14.25" customHeight="1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</row>
    <row r="749" ht="14.25" customHeight="1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</row>
    <row r="750" ht="14.25" customHeight="1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</row>
    <row r="751" ht="14.25" customHeight="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</row>
    <row r="752" ht="14.25" customHeight="1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</row>
    <row r="753" ht="14.25" customHeight="1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</row>
    <row r="754" ht="14.25" customHeight="1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</row>
    <row r="755" ht="14.25" customHeight="1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</row>
    <row r="756" ht="14.25" customHeight="1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</row>
    <row r="757" ht="14.25" customHeight="1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</row>
    <row r="758" ht="14.25" customHeight="1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</row>
    <row r="759" ht="14.25" customHeight="1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</row>
    <row r="760" ht="14.25" customHeight="1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</row>
    <row r="761" ht="14.25" customHeight="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</row>
    <row r="762" ht="14.25" customHeight="1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</row>
    <row r="763" ht="14.25" customHeight="1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</row>
    <row r="764" ht="14.25" customHeight="1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</row>
    <row r="765" ht="14.25" customHeight="1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</row>
    <row r="766" ht="14.25" customHeight="1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</row>
    <row r="767" ht="14.25" customHeight="1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</row>
    <row r="768" ht="14.25" customHeight="1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</row>
    <row r="769" ht="14.25" customHeight="1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</row>
    <row r="770" ht="14.25" customHeight="1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</row>
    <row r="771" ht="14.25" customHeight="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</row>
    <row r="772" ht="14.25" customHeight="1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</row>
    <row r="773" ht="14.25" customHeight="1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</row>
    <row r="774" ht="14.25" customHeight="1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</row>
    <row r="775" ht="14.25" customHeight="1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</row>
    <row r="776" ht="14.25" customHeight="1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</row>
    <row r="777" ht="14.25" customHeight="1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</row>
    <row r="778" ht="14.25" customHeight="1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</row>
    <row r="779" ht="14.25" customHeight="1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</row>
    <row r="780" ht="14.25" customHeight="1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</row>
    <row r="781" ht="14.25" customHeight="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</row>
    <row r="782" ht="14.25" customHeight="1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</row>
    <row r="783" ht="14.25" customHeight="1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</row>
    <row r="784" ht="14.25" customHeight="1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</row>
    <row r="785" ht="14.25" customHeight="1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</row>
    <row r="786" ht="14.25" customHeight="1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</row>
    <row r="787" ht="14.25" customHeight="1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</row>
    <row r="788" ht="14.25" customHeight="1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</row>
    <row r="789" ht="14.25" customHeight="1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</row>
    <row r="790" ht="14.25" customHeight="1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</row>
    <row r="791" ht="14.25" customHeight="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</row>
    <row r="792" ht="14.25" customHeight="1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</row>
    <row r="793" ht="14.25" customHeight="1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</row>
    <row r="794" ht="14.25" customHeight="1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</row>
    <row r="795" ht="14.25" customHeight="1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</row>
    <row r="796" ht="14.25" customHeight="1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</row>
    <row r="797" ht="14.25" customHeight="1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</row>
    <row r="798" ht="14.25" customHeight="1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</row>
    <row r="799" ht="14.25" customHeight="1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</row>
    <row r="800" ht="14.25" customHeight="1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</row>
    <row r="801" ht="14.25" customHeight="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</row>
    <row r="802" ht="14.25" customHeight="1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</row>
    <row r="803" ht="14.25" customHeight="1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</row>
    <row r="804" ht="14.25" customHeight="1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</row>
    <row r="805" ht="14.25" customHeight="1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</row>
    <row r="806" ht="14.25" customHeight="1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</row>
    <row r="807" ht="14.25" customHeight="1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</row>
    <row r="808" ht="14.25" customHeight="1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</row>
    <row r="809" ht="14.25" customHeight="1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</row>
    <row r="810" ht="14.25" customHeight="1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</row>
    <row r="811" ht="14.25" customHeight="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</row>
    <row r="812" ht="14.25" customHeight="1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</row>
    <row r="813" ht="14.25" customHeight="1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</row>
    <row r="814" ht="14.25" customHeight="1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</row>
    <row r="815" ht="14.25" customHeight="1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</row>
    <row r="816" ht="14.25" customHeight="1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</row>
    <row r="817" ht="14.25" customHeight="1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</row>
    <row r="818" ht="14.25" customHeight="1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</row>
    <row r="819" ht="14.25" customHeight="1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</row>
    <row r="820" ht="14.25" customHeight="1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</row>
    <row r="821" ht="14.25" customHeight="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</row>
    <row r="822" ht="14.25" customHeight="1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</row>
    <row r="823" ht="14.25" customHeight="1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</row>
    <row r="824" ht="14.25" customHeight="1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</row>
    <row r="825" ht="14.25" customHeight="1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</row>
    <row r="826" ht="14.25" customHeight="1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</row>
    <row r="827" ht="14.25" customHeight="1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</row>
    <row r="828" ht="14.25" customHeight="1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</row>
    <row r="829" ht="14.25" customHeight="1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</row>
    <row r="830" ht="14.25" customHeight="1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</row>
    <row r="831" ht="14.25" customHeight="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</row>
    <row r="832" ht="14.25" customHeight="1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</row>
    <row r="833" ht="14.25" customHeight="1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</row>
    <row r="834" ht="14.25" customHeight="1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</row>
    <row r="835" ht="14.25" customHeight="1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</row>
    <row r="836" ht="14.25" customHeight="1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</row>
    <row r="837" ht="14.25" customHeight="1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</row>
    <row r="838" ht="14.25" customHeight="1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</row>
    <row r="839" ht="14.25" customHeight="1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</row>
    <row r="840" ht="14.25" customHeight="1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</row>
    <row r="841" ht="14.25" customHeight="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</row>
    <row r="842" ht="14.25" customHeight="1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</row>
    <row r="843" ht="14.25" customHeight="1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</row>
    <row r="844" ht="14.25" customHeight="1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</row>
    <row r="845" ht="14.25" customHeight="1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</row>
    <row r="846" ht="14.25" customHeight="1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</row>
    <row r="847" ht="14.25" customHeight="1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</row>
    <row r="848" ht="14.25" customHeight="1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</row>
    <row r="849" ht="14.25" customHeight="1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</row>
    <row r="850" ht="14.25" customHeight="1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</row>
    <row r="851" ht="14.25" customHeight="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</row>
    <row r="852" ht="14.25" customHeight="1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</row>
    <row r="853" ht="14.25" customHeight="1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</row>
    <row r="854" ht="14.25" customHeight="1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</row>
    <row r="855" ht="14.25" customHeight="1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</row>
    <row r="856" ht="14.25" customHeight="1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</row>
    <row r="857" ht="14.25" customHeight="1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</row>
    <row r="858" ht="14.25" customHeight="1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</row>
    <row r="859" ht="14.25" customHeight="1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</row>
    <row r="860" ht="14.25" customHeight="1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</row>
    <row r="861" ht="14.25" customHeight="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</row>
    <row r="862" ht="14.25" customHeight="1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</row>
    <row r="863" ht="14.25" customHeight="1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</row>
    <row r="864" ht="14.25" customHeight="1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</row>
    <row r="865" ht="14.25" customHeight="1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</row>
    <row r="866" ht="14.25" customHeight="1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</row>
    <row r="867" ht="14.25" customHeight="1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</row>
    <row r="868" ht="14.25" customHeight="1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</row>
    <row r="869" ht="14.25" customHeight="1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</row>
    <row r="870" ht="14.25" customHeight="1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</row>
    <row r="871" ht="14.25" customHeight="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</row>
    <row r="872" ht="14.25" customHeight="1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</row>
    <row r="873" ht="14.25" customHeight="1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</row>
    <row r="874" ht="14.25" customHeight="1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</row>
    <row r="875" ht="14.25" customHeight="1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</row>
    <row r="876" ht="14.25" customHeight="1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</row>
    <row r="877" ht="14.25" customHeight="1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</row>
    <row r="878" ht="14.25" customHeight="1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</row>
    <row r="879" ht="14.25" customHeight="1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</row>
    <row r="880" ht="14.25" customHeight="1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</row>
    <row r="881" ht="14.25" customHeight="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</row>
    <row r="882" ht="14.25" customHeight="1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</row>
    <row r="883" ht="14.25" customHeight="1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</row>
    <row r="884" ht="14.25" customHeight="1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</row>
    <row r="885" ht="14.25" customHeight="1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</row>
    <row r="886" ht="14.25" customHeight="1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</row>
    <row r="887" ht="14.25" customHeight="1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</row>
    <row r="888" ht="14.25" customHeight="1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</row>
    <row r="889" ht="14.25" customHeight="1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</row>
    <row r="890" ht="14.25" customHeight="1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</row>
    <row r="891" ht="14.25" customHeight="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</row>
    <row r="892" ht="14.25" customHeight="1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</row>
    <row r="893" ht="14.25" customHeight="1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</row>
    <row r="894" ht="14.25" customHeight="1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</row>
    <row r="895" ht="14.25" customHeight="1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</row>
    <row r="896" ht="14.25" customHeight="1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</row>
    <row r="897" ht="14.25" customHeight="1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</row>
    <row r="898" ht="14.25" customHeight="1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</row>
    <row r="899" ht="14.25" customHeight="1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</row>
    <row r="900" ht="14.25" customHeight="1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</row>
    <row r="901" ht="14.25" customHeight="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</row>
    <row r="902" ht="14.25" customHeight="1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</row>
    <row r="903" ht="14.25" customHeight="1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</row>
    <row r="904" ht="14.25" customHeight="1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</row>
    <row r="905" ht="14.25" customHeight="1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</row>
    <row r="906" ht="14.25" customHeight="1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</row>
    <row r="907" ht="14.25" customHeight="1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</row>
    <row r="908" ht="14.25" customHeight="1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</row>
    <row r="909" ht="14.25" customHeight="1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</row>
    <row r="910" ht="14.25" customHeight="1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</row>
    <row r="911" ht="14.25" customHeight="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</row>
    <row r="912" ht="14.25" customHeight="1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</row>
    <row r="913" ht="14.25" customHeight="1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</row>
    <row r="914" ht="14.25" customHeight="1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</row>
    <row r="915" ht="14.25" customHeight="1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</row>
    <row r="916" ht="14.25" customHeight="1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</row>
    <row r="917" ht="14.25" customHeight="1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</row>
    <row r="918" ht="14.25" customHeight="1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</row>
    <row r="919" ht="14.25" customHeight="1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</row>
    <row r="920" ht="14.25" customHeight="1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</row>
    <row r="921" ht="14.25" customHeight="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</row>
    <row r="922" ht="14.25" customHeight="1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</row>
    <row r="923" ht="14.25" customHeight="1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</row>
    <row r="924" ht="14.25" customHeight="1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</row>
    <row r="925" ht="14.25" customHeight="1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</row>
    <row r="926" ht="14.25" customHeight="1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</row>
    <row r="927" ht="14.25" customHeight="1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</row>
    <row r="928" ht="14.25" customHeight="1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</row>
    <row r="929" ht="14.25" customHeight="1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</row>
    <row r="930" ht="14.25" customHeight="1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</row>
    <row r="931" ht="14.25" customHeight="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</row>
    <row r="932" ht="14.25" customHeight="1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</row>
    <row r="933" ht="14.25" customHeight="1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</row>
    <row r="934" ht="14.25" customHeight="1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</row>
    <row r="935" ht="14.25" customHeight="1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</row>
    <row r="936" ht="14.25" customHeight="1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</row>
    <row r="937" ht="14.25" customHeight="1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</row>
    <row r="938" ht="14.25" customHeight="1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</row>
    <row r="939" ht="14.25" customHeight="1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</row>
    <row r="940" ht="14.25" customHeight="1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</row>
    <row r="941" ht="14.25" customHeight="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</row>
    <row r="942" ht="14.25" customHeight="1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</row>
    <row r="943" ht="14.25" customHeight="1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</row>
    <row r="944" ht="14.25" customHeight="1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</row>
    <row r="945" ht="14.25" customHeight="1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</row>
    <row r="946" ht="14.25" customHeight="1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</row>
    <row r="947" ht="14.25" customHeight="1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</row>
    <row r="948" ht="14.25" customHeight="1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</row>
    <row r="949" ht="14.25" customHeight="1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</row>
    <row r="950" ht="14.25" customHeight="1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</row>
    <row r="951" ht="14.25" customHeight="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</row>
    <row r="952" ht="14.25" customHeight="1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</row>
    <row r="953" ht="14.25" customHeight="1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</row>
    <row r="954" ht="14.25" customHeight="1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</row>
    <row r="955" ht="14.25" customHeight="1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</row>
    <row r="956" ht="14.25" customHeight="1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</row>
    <row r="957" ht="14.25" customHeight="1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</row>
    <row r="958" ht="14.25" customHeight="1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</row>
    <row r="959" ht="14.25" customHeight="1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</row>
    <row r="960" ht="14.25" customHeight="1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</row>
    <row r="961" ht="14.25" customHeight="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</row>
    <row r="962" ht="14.25" customHeight="1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</row>
    <row r="963" ht="14.25" customHeight="1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</row>
    <row r="964" ht="14.25" customHeight="1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</row>
    <row r="965" ht="14.25" customHeight="1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</row>
    <row r="966" ht="14.25" customHeight="1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</row>
    <row r="967" ht="14.25" customHeight="1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</row>
    <row r="968" ht="14.25" customHeight="1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</row>
    <row r="969" ht="14.25" customHeight="1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</row>
    <row r="970" ht="14.25" customHeight="1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</row>
    <row r="971" ht="14.25" customHeight="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</row>
    <row r="972" ht="14.25" customHeight="1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</row>
    <row r="973" ht="14.25" customHeight="1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</row>
    <row r="974" ht="14.25" customHeight="1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</row>
    <row r="975" ht="14.25" customHeight="1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</row>
    <row r="976" ht="14.25" customHeight="1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</row>
    <row r="977" ht="14.25" customHeight="1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</row>
    <row r="978" ht="14.25" customHeight="1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</row>
    <row r="979" ht="14.25" customHeight="1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</row>
    <row r="980" ht="14.25" customHeight="1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</row>
    <row r="981" ht="14.25" customHeight="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</row>
    <row r="982" ht="14.25" customHeight="1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</row>
    <row r="983" ht="14.25" customHeight="1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</row>
    <row r="984" ht="14.25" customHeight="1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</row>
    <row r="985" ht="14.25" customHeight="1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</row>
    <row r="986" ht="14.25" customHeight="1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</row>
    <row r="987" ht="14.25" customHeight="1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</row>
    <row r="988" ht="14.25" customHeight="1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</row>
    <row r="989" ht="14.25" customHeight="1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</row>
    <row r="990" ht="14.25" customHeight="1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</row>
    <row r="991" ht="14.25" customHeight="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</row>
    <row r="992" ht="14.25" customHeight="1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</row>
    <row r="993" ht="14.25" customHeight="1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</row>
    <row r="994" ht="14.25" customHeight="1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</row>
    <row r="995" ht="14.25" customHeight="1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</row>
    <row r="996" ht="14.25" customHeight="1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</row>
    <row r="997" ht="14.25" customHeight="1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</row>
    <row r="998" ht="14.25" customHeight="1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</row>
    <row r="999" ht="14.25" customHeight="1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</row>
    <row r="1000" ht="14.25" customHeight="1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</row>
  </sheetData>
  <mergeCells count="16">
    <mergeCell ref="B79:F79"/>
    <mergeCell ref="B104:F104"/>
    <mergeCell ref="T13:U13"/>
    <mergeCell ref="V13:W13"/>
    <mergeCell ref="B2:F2"/>
    <mergeCell ref="J12:M12"/>
    <mergeCell ref="J13:K13"/>
    <mergeCell ref="L13:M13"/>
    <mergeCell ref="N13:O13"/>
    <mergeCell ref="P13:Q13"/>
    <mergeCell ref="R13:S13"/>
    <mergeCell ref="H14:I14"/>
    <mergeCell ref="B16:F16"/>
    <mergeCell ref="B31:F31"/>
    <mergeCell ref="B42:F42"/>
    <mergeCell ref="B69:F69"/>
  </mergeCells>
  <conditionalFormatting sqref="H15:I28">
    <cfRule type="expression" dxfId="0" priority="1">
      <formula>LEN(TRIM(H15))&gt;0</formula>
    </cfRule>
  </conditionalFormatting>
  <conditionalFormatting sqref="H22:I22">
    <cfRule type="expression" dxfId="0" priority="2">
      <formula>LEN(TRIM(H22))&gt;0</formula>
    </cfRule>
  </conditionalFormatting>
  <printOptions/>
  <pageMargins bottom="0.3" footer="0.0" header="0.0" left="0.7" right="0.7" top="0.3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53.86"/>
    <col customWidth="1" min="3" max="4" width="17.0"/>
    <col customWidth="1" min="5" max="5" width="31.71"/>
    <col customWidth="1" min="6" max="6" width="25.57"/>
    <col customWidth="1" min="7" max="7" width="14.43"/>
    <col customWidth="1" min="8" max="8" width="17.0"/>
    <col customWidth="1" min="9" max="15" width="14.43"/>
    <col customWidth="1" min="16" max="25" width="8.71"/>
  </cols>
  <sheetData>
    <row r="1" ht="14.25" customHeight="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ht="20.25" customHeight="1">
      <c r="A2" s="43"/>
      <c r="B2" s="44" t="s">
        <v>341</v>
      </c>
      <c r="C2" s="45"/>
      <c r="D2" s="45"/>
      <c r="E2" s="45"/>
      <c r="F2" s="46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ht="18.0" customHeight="1">
      <c r="A3" s="43"/>
      <c r="B3" s="47" t="s">
        <v>45</v>
      </c>
      <c r="C3" s="47" t="s">
        <v>46</v>
      </c>
      <c r="D3" s="47" t="s">
        <v>47</v>
      </c>
      <c r="E3" s="47" t="s">
        <v>48</v>
      </c>
      <c r="F3" s="47" t="s">
        <v>49</v>
      </c>
      <c r="G3" s="43"/>
      <c r="H3" s="48" t="s">
        <v>50</v>
      </c>
      <c r="I3" s="49"/>
      <c r="J3" s="49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ht="15.0" customHeight="1">
      <c r="A4" s="43"/>
      <c r="B4" s="51" t="s">
        <v>342</v>
      </c>
      <c r="C4" s="51"/>
      <c r="D4" s="51"/>
      <c r="E4" s="52"/>
      <c r="F4" s="52"/>
      <c r="G4" s="43"/>
      <c r="H4" s="48" t="s">
        <v>54</v>
      </c>
      <c r="I4" s="49"/>
      <c r="J4" s="49">
        <f>E14+E29</f>
        <v>0</v>
      </c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 ht="15.0" customHeight="1">
      <c r="A5" s="43"/>
      <c r="B5" s="51" t="s">
        <v>343</v>
      </c>
      <c r="C5" s="51"/>
      <c r="D5" s="51"/>
      <c r="E5" s="52"/>
      <c r="F5" s="52"/>
      <c r="G5" s="43"/>
      <c r="H5" s="48" t="s">
        <v>58</v>
      </c>
      <c r="I5" s="49"/>
      <c r="J5" s="49">
        <f>F14+F29</f>
        <v>0</v>
      </c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</row>
    <row r="6" ht="15.0" customHeight="1">
      <c r="A6" s="43"/>
      <c r="B6" s="51" t="s">
        <v>344</v>
      </c>
      <c r="C6" s="51"/>
      <c r="D6" s="51"/>
      <c r="E6" s="52"/>
      <c r="F6" s="52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</row>
    <row r="7" ht="15.0" customHeight="1">
      <c r="A7" s="43"/>
      <c r="B7" s="51" t="s">
        <v>345</v>
      </c>
      <c r="C7" s="51"/>
      <c r="D7" s="51"/>
      <c r="E7" s="52"/>
      <c r="F7" s="52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</row>
    <row r="8" ht="12.75" customHeight="1">
      <c r="A8" s="43"/>
      <c r="B8" s="51" t="s">
        <v>346</v>
      </c>
      <c r="C8" s="51"/>
      <c r="D8" s="51"/>
      <c r="E8" s="52"/>
      <c r="F8" s="52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</row>
    <row r="9" ht="15.0" customHeight="1">
      <c r="A9" s="43"/>
      <c r="B9" s="51" t="s">
        <v>347</v>
      </c>
      <c r="C9" s="51"/>
      <c r="D9" s="51"/>
      <c r="E9" s="52"/>
      <c r="F9" s="52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</row>
    <row r="10" ht="15.0" customHeight="1">
      <c r="A10" s="43"/>
      <c r="B10" s="51" t="s">
        <v>348</v>
      </c>
      <c r="C10" s="51"/>
      <c r="D10" s="51"/>
      <c r="E10" s="52"/>
      <c r="F10" s="52"/>
      <c r="G10" s="43"/>
      <c r="H10" s="43" t="s">
        <v>65</v>
      </c>
      <c r="I10" s="43">
        <v>7.0</v>
      </c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</row>
    <row r="11" ht="18.0" customHeight="1">
      <c r="A11" s="43"/>
      <c r="B11" s="51" t="s">
        <v>349</v>
      </c>
      <c r="C11" s="51"/>
      <c r="D11" s="51"/>
      <c r="E11" s="52"/>
      <c r="F11" s="52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</row>
    <row r="12" ht="15.0" customHeight="1">
      <c r="A12" s="43"/>
      <c r="B12" s="51" t="s">
        <v>350</v>
      </c>
      <c r="C12" s="51"/>
      <c r="D12" s="51"/>
      <c r="E12" s="52"/>
      <c r="F12" s="52"/>
      <c r="G12" s="43"/>
      <c r="H12" s="43"/>
      <c r="I12" s="43"/>
      <c r="J12" s="83" t="s">
        <v>169</v>
      </c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</row>
    <row r="13" ht="15.0" customHeight="1">
      <c r="A13" s="43"/>
      <c r="B13" s="51" t="s">
        <v>351</v>
      </c>
      <c r="C13" s="51"/>
      <c r="D13" s="51"/>
      <c r="E13" s="52"/>
      <c r="F13" s="52"/>
      <c r="G13" s="43"/>
      <c r="H13" s="43"/>
      <c r="I13" s="43"/>
      <c r="J13" s="60" t="s">
        <v>38</v>
      </c>
      <c r="K13" s="61"/>
      <c r="L13" s="62" t="s">
        <v>5</v>
      </c>
      <c r="M13" s="61"/>
      <c r="N13" s="62" t="s">
        <v>6</v>
      </c>
      <c r="O13" s="61"/>
      <c r="P13" s="43"/>
      <c r="Q13" s="43"/>
      <c r="R13" s="43"/>
      <c r="S13" s="43"/>
      <c r="T13" s="43"/>
      <c r="U13" s="43"/>
      <c r="V13" s="43"/>
      <c r="W13" s="43"/>
      <c r="X13" s="43"/>
      <c r="Y13" s="43"/>
    </row>
    <row r="14" ht="15.75" customHeight="1">
      <c r="A14" s="54"/>
      <c r="B14" s="55" t="s">
        <v>38</v>
      </c>
      <c r="C14" s="55"/>
      <c r="D14" s="55"/>
      <c r="E14" s="57">
        <f t="shared" ref="E14:F14" si="1">SUM(E4:E13)</f>
        <v>0</v>
      </c>
      <c r="F14" s="57">
        <f t="shared" si="1"/>
        <v>0</v>
      </c>
      <c r="G14" s="43"/>
      <c r="H14" s="63" t="s">
        <v>72</v>
      </c>
      <c r="I14" s="61"/>
      <c r="J14" s="64" t="s">
        <v>73</v>
      </c>
      <c r="K14" s="65" t="s">
        <v>74</v>
      </c>
      <c r="L14" s="64" t="s">
        <v>73</v>
      </c>
      <c r="M14" s="65" t="s">
        <v>74</v>
      </c>
      <c r="N14" s="64" t="s">
        <v>73</v>
      </c>
      <c r="O14" s="65" t="s">
        <v>74</v>
      </c>
      <c r="P14" s="43"/>
      <c r="Q14" s="43"/>
      <c r="R14" s="43"/>
      <c r="S14" s="43"/>
      <c r="T14" s="43"/>
      <c r="U14" s="43"/>
      <c r="V14" s="43"/>
      <c r="W14" s="43"/>
      <c r="X14" s="43"/>
      <c r="Y14" s="43"/>
    </row>
    <row r="15" ht="15.75" customHeight="1">
      <c r="A15" s="43"/>
      <c r="B15" s="43"/>
      <c r="C15" s="43"/>
      <c r="D15" s="43"/>
      <c r="E15" s="43"/>
      <c r="F15" s="43"/>
      <c r="G15" s="43"/>
      <c r="H15" s="88">
        <v>45000.0</v>
      </c>
      <c r="I15" s="67">
        <v>0.0</v>
      </c>
      <c r="J15" s="43">
        <f t="shared" ref="J15:K15" si="2">L15+N15</f>
        <v>0</v>
      </c>
      <c r="K15" s="43">
        <f t="shared" si="2"/>
        <v>0</v>
      </c>
      <c r="L15" s="69">
        <v>0.0</v>
      </c>
      <c r="M15" s="69"/>
      <c r="N15" s="69">
        <v>0.0</v>
      </c>
      <c r="O15" s="69"/>
      <c r="P15" s="43"/>
      <c r="Q15" s="43"/>
      <c r="R15" s="43"/>
      <c r="S15" s="43"/>
      <c r="T15" s="43"/>
      <c r="U15" s="43"/>
      <c r="V15" s="43"/>
      <c r="W15" s="43"/>
      <c r="X15" s="43"/>
      <c r="Y15" s="43"/>
    </row>
    <row r="16" ht="16.5" customHeight="1">
      <c r="A16" s="43"/>
      <c r="B16" s="43"/>
      <c r="C16" s="43"/>
      <c r="D16" s="43"/>
      <c r="E16" s="43"/>
      <c r="F16" s="43"/>
      <c r="G16" s="43"/>
      <c r="H16" s="88">
        <v>45001.0</v>
      </c>
      <c r="I16" s="67">
        <v>1.0</v>
      </c>
      <c r="J16" s="43">
        <f t="shared" ref="J16:K16" si="3">L16+N16</f>
        <v>0</v>
      </c>
      <c r="K16" s="43">
        <f t="shared" si="3"/>
        <v>0</v>
      </c>
      <c r="L16" s="69">
        <f t="shared" ref="L16:L22" si="5">$L$15*(1-1/$I$10*I16)</f>
        <v>0</v>
      </c>
      <c r="M16" s="69"/>
      <c r="N16" s="69">
        <f t="shared" ref="N16:N22" si="6">$N$15*(1-1/$I$10*I16)</f>
        <v>0</v>
      </c>
      <c r="O16" s="69"/>
      <c r="P16" s="43"/>
      <c r="Q16" s="43"/>
      <c r="R16" s="43"/>
      <c r="S16" s="43"/>
      <c r="T16" s="43"/>
      <c r="U16" s="43"/>
      <c r="V16" s="43"/>
      <c r="W16" s="43"/>
      <c r="X16" s="43"/>
      <c r="Y16" s="43"/>
    </row>
    <row r="17" ht="16.5" customHeight="1">
      <c r="A17" s="43"/>
      <c r="B17" s="44" t="s">
        <v>352</v>
      </c>
      <c r="C17" s="45"/>
      <c r="D17" s="45"/>
      <c r="E17" s="45"/>
      <c r="F17" s="46"/>
      <c r="G17" s="43"/>
      <c r="H17" s="88">
        <v>45002.0</v>
      </c>
      <c r="I17" s="67">
        <v>2.0</v>
      </c>
      <c r="J17" s="43">
        <f t="shared" ref="J17:K17" si="4">L17+N17</f>
        <v>0</v>
      </c>
      <c r="K17" s="43">
        <f t="shared" si="4"/>
        <v>0</v>
      </c>
      <c r="L17" s="69">
        <f t="shared" si="5"/>
        <v>0</v>
      </c>
      <c r="M17" s="69"/>
      <c r="N17" s="69">
        <f t="shared" si="6"/>
        <v>0</v>
      </c>
      <c r="O17" s="69"/>
      <c r="P17" s="43"/>
      <c r="Q17" s="43"/>
      <c r="R17" s="43"/>
      <c r="S17" s="43"/>
      <c r="T17" s="43"/>
      <c r="U17" s="43"/>
      <c r="V17" s="43"/>
      <c r="W17" s="43"/>
      <c r="X17" s="43"/>
      <c r="Y17" s="43"/>
    </row>
    <row r="18" ht="16.5" customHeight="1">
      <c r="A18" s="43"/>
      <c r="B18" s="47" t="s">
        <v>45</v>
      </c>
      <c r="C18" s="47" t="s">
        <v>46</v>
      </c>
      <c r="D18" s="47" t="s">
        <v>47</v>
      </c>
      <c r="E18" s="47" t="s">
        <v>48</v>
      </c>
      <c r="F18" s="47" t="s">
        <v>49</v>
      </c>
      <c r="G18" s="43"/>
      <c r="H18" s="88">
        <v>45003.0</v>
      </c>
      <c r="I18" s="67">
        <v>3.0</v>
      </c>
      <c r="J18" s="43">
        <f t="shared" ref="J18:K18" si="7">L18+N18</f>
        <v>0</v>
      </c>
      <c r="K18" s="43">
        <f t="shared" si="7"/>
        <v>0</v>
      </c>
      <c r="L18" s="69">
        <f t="shared" si="5"/>
        <v>0</v>
      </c>
      <c r="M18" s="69"/>
      <c r="N18" s="69">
        <f t="shared" si="6"/>
        <v>0</v>
      </c>
      <c r="O18" s="69"/>
      <c r="P18" s="43"/>
      <c r="Q18" s="43"/>
      <c r="R18" s="43"/>
      <c r="S18" s="43"/>
      <c r="T18" s="43"/>
      <c r="U18" s="43"/>
      <c r="V18" s="43"/>
      <c r="W18" s="43"/>
      <c r="X18" s="43"/>
      <c r="Y18" s="43"/>
    </row>
    <row r="19" ht="16.5" customHeight="1">
      <c r="A19" s="43"/>
      <c r="B19" s="51" t="s">
        <v>342</v>
      </c>
      <c r="C19" s="51"/>
      <c r="D19" s="51"/>
      <c r="E19" s="52"/>
      <c r="F19" s="52"/>
      <c r="G19" s="43"/>
      <c r="H19" s="88">
        <v>45004.0</v>
      </c>
      <c r="I19" s="67">
        <v>4.0</v>
      </c>
      <c r="J19" s="43">
        <f t="shared" ref="J19:K19" si="8">L19+N19</f>
        <v>0</v>
      </c>
      <c r="K19" s="43">
        <f t="shared" si="8"/>
        <v>0</v>
      </c>
      <c r="L19" s="69">
        <f t="shared" si="5"/>
        <v>0</v>
      </c>
      <c r="M19" s="69"/>
      <c r="N19" s="69">
        <f t="shared" si="6"/>
        <v>0</v>
      </c>
      <c r="O19" s="69"/>
      <c r="P19" s="43"/>
      <c r="Q19" s="43"/>
      <c r="R19" s="43"/>
      <c r="S19" s="43"/>
      <c r="T19" s="43"/>
      <c r="U19" s="43"/>
      <c r="V19" s="43"/>
      <c r="W19" s="43"/>
      <c r="X19" s="43"/>
      <c r="Y19" s="43"/>
    </row>
    <row r="20" ht="16.5" customHeight="1">
      <c r="A20" s="43"/>
      <c r="B20" s="51" t="s">
        <v>343</v>
      </c>
      <c r="C20" s="51"/>
      <c r="D20" s="51"/>
      <c r="E20" s="52"/>
      <c r="F20" s="52"/>
      <c r="G20" s="43"/>
      <c r="H20" s="88">
        <v>45005.0</v>
      </c>
      <c r="I20" s="67">
        <v>5.0</v>
      </c>
      <c r="J20" s="43">
        <f t="shared" ref="J20:K20" si="9">L20+N20</f>
        <v>0</v>
      </c>
      <c r="K20" s="43">
        <f t="shared" si="9"/>
        <v>0</v>
      </c>
      <c r="L20" s="69">
        <f t="shared" si="5"/>
        <v>0</v>
      </c>
      <c r="M20" s="69"/>
      <c r="N20" s="69">
        <f t="shared" si="6"/>
        <v>0</v>
      </c>
      <c r="O20" s="69"/>
      <c r="P20" s="43"/>
      <c r="Q20" s="43"/>
      <c r="R20" s="43"/>
      <c r="S20" s="43"/>
      <c r="T20" s="43"/>
      <c r="U20" s="43"/>
      <c r="V20" s="43"/>
      <c r="W20" s="43"/>
      <c r="X20" s="43"/>
      <c r="Y20" s="43"/>
    </row>
    <row r="21" ht="15.75" customHeight="1">
      <c r="A21" s="43"/>
      <c r="B21" s="51" t="s">
        <v>344</v>
      </c>
      <c r="C21" s="51"/>
      <c r="D21" s="51"/>
      <c r="E21" s="52"/>
      <c r="F21" s="52"/>
      <c r="G21" s="43"/>
      <c r="H21" s="88">
        <v>45006.0</v>
      </c>
      <c r="I21" s="67">
        <v>6.0</v>
      </c>
      <c r="J21" s="43">
        <f t="shared" ref="J21:K21" si="10">L21+N21</f>
        <v>0</v>
      </c>
      <c r="K21" s="43">
        <f t="shared" si="10"/>
        <v>0</v>
      </c>
      <c r="L21" s="69">
        <f t="shared" si="5"/>
        <v>0</v>
      </c>
      <c r="M21" s="69"/>
      <c r="N21" s="69">
        <f t="shared" si="6"/>
        <v>0</v>
      </c>
      <c r="O21" s="69"/>
      <c r="P21" s="43"/>
      <c r="Q21" s="43"/>
      <c r="R21" s="43"/>
      <c r="S21" s="43"/>
      <c r="T21" s="43"/>
      <c r="U21" s="43"/>
      <c r="V21" s="43"/>
      <c r="W21" s="43"/>
      <c r="X21" s="43"/>
      <c r="Y21" s="43"/>
    </row>
    <row r="22" ht="15.75" customHeight="1">
      <c r="A22" s="43"/>
      <c r="B22" s="51" t="s">
        <v>345</v>
      </c>
      <c r="C22" s="51"/>
      <c r="D22" s="51"/>
      <c r="E22" s="52"/>
      <c r="F22" s="52"/>
      <c r="G22" s="43"/>
      <c r="H22" s="88">
        <v>45007.0</v>
      </c>
      <c r="I22" s="67">
        <v>7.0</v>
      </c>
      <c r="J22" s="43">
        <f t="shared" ref="J22:K22" si="11">L22+N22</f>
        <v>0</v>
      </c>
      <c r="K22" s="43">
        <f t="shared" si="11"/>
        <v>0</v>
      </c>
      <c r="L22" s="69">
        <f t="shared" si="5"/>
        <v>0</v>
      </c>
      <c r="M22" s="69"/>
      <c r="N22" s="69">
        <f t="shared" si="6"/>
        <v>0</v>
      </c>
      <c r="O22" s="69"/>
      <c r="P22" s="43"/>
      <c r="Q22" s="43"/>
      <c r="R22" s="43"/>
      <c r="S22" s="43"/>
      <c r="T22" s="43"/>
      <c r="U22" s="43"/>
      <c r="V22" s="43"/>
      <c r="W22" s="43"/>
      <c r="X22" s="43"/>
      <c r="Y22" s="43"/>
    </row>
    <row r="23" ht="15.75" customHeight="1">
      <c r="A23" s="43"/>
      <c r="B23" s="51" t="s">
        <v>346</v>
      </c>
      <c r="C23" s="51"/>
      <c r="D23" s="51"/>
      <c r="E23" s="52"/>
      <c r="F23" s="52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</row>
    <row r="24" ht="15.75" customHeight="1">
      <c r="A24" s="43"/>
      <c r="B24" s="51" t="s">
        <v>347</v>
      </c>
      <c r="C24" s="51"/>
      <c r="D24" s="51"/>
      <c r="E24" s="52"/>
      <c r="F24" s="52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</row>
    <row r="25" ht="15.75" customHeight="1">
      <c r="A25" s="43"/>
      <c r="B25" s="51" t="s">
        <v>348</v>
      </c>
      <c r="C25" s="51"/>
      <c r="D25" s="51"/>
      <c r="E25" s="52"/>
      <c r="F25" s="52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</row>
    <row r="26" ht="15.75" customHeight="1">
      <c r="A26" s="43"/>
      <c r="B26" s="51" t="s">
        <v>349</v>
      </c>
      <c r="C26" s="51"/>
      <c r="D26" s="51"/>
      <c r="E26" s="52"/>
      <c r="F26" s="52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</row>
    <row r="27" ht="15.75" customHeight="1">
      <c r="A27" s="43"/>
      <c r="B27" s="51" t="s">
        <v>350</v>
      </c>
      <c r="C27" s="51"/>
      <c r="D27" s="51"/>
      <c r="E27" s="52"/>
      <c r="F27" s="52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</row>
    <row r="28" ht="15.75" customHeight="1">
      <c r="A28" s="43"/>
      <c r="B28" s="51" t="s">
        <v>351</v>
      </c>
      <c r="C28" s="51"/>
      <c r="D28" s="51"/>
      <c r="E28" s="52"/>
      <c r="F28" s="52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</row>
    <row r="29" ht="15.75" customHeight="1">
      <c r="A29" s="43"/>
      <c r="B29" s="55" t="s">
        <v>38</v>
      </c>
      <c r="C29" s="55"/>
      <c r="D29" s="55"/>
      <c r="E29" s="57">
        <f t="shared" ref="E29:F29" si="12">SUM(E19:E28)</f>
        <v>0</v>
      </c>
      <c r="F29" s="57">
        <f t="shared" si="12"/>
        <v>0</v>
      </c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</row>
    <row r="37" ht="15.75" customHeight="1">
      <c r="A37" s="54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</row>
    <row r="51" ht="18.0" customHeight="1">
      <c r="A51" s="54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</row>
    <row r="57" ht="18.0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ht="18.0" customHeight="1">
      <c r="A63" s="54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ht="18.0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ht="18.0" customHeight="1">
      <c r="A74" s="54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ht="18.0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</row>
    <row r="87" ht="15.75" customHeight="1">
      <c r="A87" s="54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</row>
    <row r="105" ht="14.2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</row>
    <row r="106" ht="14.2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</row>
    <row r="107" ht="14.2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</row>
    <row r="108" ht="14.2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</row>
    <row r="109" ht="14.2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</row>
    <row r="110" ht="14.2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</row>
    <row r="111" ht="14.2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</row>
    <row r="112" ht="14.2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</row>
    <row r="113" ht="14.2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</row>
    <row r="114" ht="14.2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</row>
    <row r="115" ht="14.2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</row>
    <row r="116" ht="14.2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</row>
    <row r="117" ht="14.2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</row>
    <row r="118" ht="14.2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</row>
    <row r="119" ht="14.2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</row>
    <row r="120" ht="14.2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</row>
    <row r="121" ht="14.2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</row>
    <row r="122" ht="14.2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</row>
    <row r="123" ht="14.2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</row>
    <row r="124" ht="14.2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</row>
    <row r="125" ht="14.2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</row>
    <row r="126" ht="14.2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</row>
    <row r="127" ht="14.2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</row>
    <row r="128" ht="14.2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</row>
    <row r="129" ht="14.2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</row>
    <row r="130" ht="14.2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</row>
    <row r="131" ht="14.2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</row>
    <row r="132" ht="14.2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</row>
    <row r="133" ht="14.2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</row>
    <row r="134" ht="14.2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</row>
    <row r="135" ht="14.2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</row>
    <row r="136" ht="14.2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</row>
    <row r="137" ht="14.2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</row>
    <row r="138" ht="14.2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</row>
    <row r="139" ht="14.2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</row>
    <row r="140" ht="14.2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</row>
    <row r="141" ht="14.2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</row>
    <row r="142" ht="14.2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</row>
    <row r="143" ht="14.2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</row>
    <row r="144" ht="14.2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</row>
    <row r="145" ht="14.2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</row>
    <row r="146" ht="14.2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</row>
    <row r="147" ht="14.2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</row>
    <row r="148" ht="14.2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</row>
    <row r="149" ht="14.2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</row>
    <row r="150" ht="14.2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</row>
    <row r="151" ht="14.2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</row>
    <row r="152" ht="14.2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</row>
    <row r="153" ht="14.2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</row>
    <row r="154" ht="14.2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</row>
    <row r="155" ht="14.2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</row>
    <row r="156" ht="14.2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</row>
    <row r="157" ht="14.2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</row>
    <row r="158" ht="14.2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</row>
    <row r="159" ht="14.2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</row>
    <row r="160" ht="14.2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</row>
    <row r="161" ht="14.2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</row>
    <row r="162" ht="14.2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</row>
    <row r="163" ht="14.2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</row>
    <row r="164" ht="14.2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</row>
    <row r="165" ht="14.2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</row>
    <row r="166" ht="14.2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</row>
    <row r="167" ht="14.2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</row>
    <row r="168" ht="14.2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</row>
    <row r="169" ht="14.2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</row>
    <row r="170" ht="14.2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</row>
    <row r="171" ht="14.2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</row>
    <row r="172" ht="14.2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</row>
    <row r="173" ht="14.2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</row>
    <row r="174" ht="14.2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</row>
    <row r="175" ht="14.2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</row>
    <row r="176" ht="14.2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</row>
    <row r="177" ht="14.2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</row>
    <row r="178" ht="14.2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</row>
    <row r="179" ht="14.2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</row>
    <row r="180" ht="14.2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</row>
    <row r="181" ht="14.2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</row>
    <row r="182" ht="14.2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</row>
    <row r="183" ht="14.2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</row>
    <row r="184" ht="14.2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</row>
    <row r="185" ht="14.2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</row>
    <row r="186" ht="14.2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</row>
    <row r="187" ht="14.2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</row>
    <row r="188" ht="14.2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</row>
    <row r="189" ht="14.2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</row>
    <row r="190" ht="14.2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</row>
    <row r="191" ht="14.2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</row>
    <row r="192" ht="14.2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</row>
    <row r="193" ht="14.2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</row>
    <row r="194" ht="14.2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</row>
    <row r="195" ht="14.2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</row>
    <row r="196" ht="14.2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</row>
    <row r="197" ht="14.2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</row>
    <row r="198" ht="14.2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</row>
    <row r="199" ht="14.2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</row>
    <row r="200" ht="14.2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</row>
    <row r="201" ht="14.2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</row>
    <row r="202" ht="14.2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</row>
    <row r="203" ht="14.2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</row>
    <row r="204" ht="14.2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</row>
    <row r="205" ht="14.2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</row>
    <row r="206" ht="14.2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</row>
    <row r="207" ht="14.2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</row>
    <row r="208" ht="14.2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</row>
    <row r="209" ht="14.2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</row>
    <row r="210" ht="14.2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</row>
    <row r="211" ht="14.2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</row>
    <row r="212" ht="14.2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</row>
    <row r="213" ht="14.2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</row>
    <row r="214" ht="14.2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</row>
    <row r="215" ht="14.2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</row>
    <row r="216" ht="14.2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</row>
    <row r="217" ht="14.2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</row>
    <row r="218" ht="14.2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</row>
    <row r="219" ht="14.2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</row>
    <row r="220" ht="14.2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</row>
    <row r="221" ht="14.2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</row>
    <row r="222" ht="14.2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</row>
    <row r="223" ht="14.2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</row>
    <row r="224" ht="14.2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</row>
    <row r="225" ht="14.2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</row>
    <row r="226" ht="14.2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</row>
    <row r="227" ht="14.2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</row>
    <row r="228" ht="14.2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</row>
    <row r="229" ht="14.2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</row>
    <row r="230" ht="14.2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</row>
    <row r="231" ht="14.2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</row>
    <row r="232" ht="14.2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</row>
    <row r="233" ht="14.2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</row>
    <row r="234" ht="14.2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</row>
    <row r="235" ht="14.2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</row>
    <row r="236" ht="14.2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</row>
    <row r="237" ht="14.2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</row>
    <row r="238" ht="14.2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</row>
    <row r="239" ht="14.2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</row>
    <row r="240" ht="14.2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</row>
    <row r="241" ht="14.2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</row>
    <row r="242" ht="14.2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</row>
    <row r="243" ht="14.2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</row>
    <row r="244" ht="14.2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</row>
    <row r="245" ht="14.2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</row>
    <row r="246" ht="14.2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</row>
    <row r="247" ht="14.2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</row>
    <row r="248" ht="14.2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</row>
    <row r="249" ht="14.2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</row>
    <row r="250" ht="14.2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</row>
    <row r="251" ht="14.2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</row>
    <row r="252" ht="14.2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</row>
    <row r="253" ht="14.2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</row>
    <row r="254" ht="14.2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</row>
    <row r="255" ht="14.2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</row>
    <row r="256" ht="14.2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</row>
    <row r="257" ht="14.2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</row>
    <row r="258" ht="14.2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</row>
    <row r="259" ht="14.2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</row>
    <row r="260" ht="14.2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</row>
    <row r="261" ht="14.25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</row>
    <row r="262" ht="14.2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</row>
    <row r="263" ht="14.25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</row>
    <row r="264" ht="14.25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</row>
    <row r="265" ht="14.25" customHeight="1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</row>
    <row r="266" ht="14.25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</row>
    <row r="267" ht="14.25" customHeight="1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</row>
    <row r="268" ht="14.25" customHeight="1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</row>
    <row r="269" ht="14.25" customHeight="1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</row>
    <row r="270" ht="14.25" customHeight="1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</row>
    <row r="271" ht="14.25" customHeight="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</row>
    <row r="272" ht="14.25" customHeight="1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</row>
    <row r="273" ht="14.25" customHeight="1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</row>
    <row r="274" ht="14.25" customHeight="1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</row>
    <row r="275" ht="14.25" customHeight="1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</row>
    <row r="276" ht="14.25" customHeight="1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</row>
    <row r="277" ht="14.25" customHeight="1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</row>
    <row r="278" ht="14.25" customHeight="1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</row>
    <row r="279" ht="14.25" customHeight="1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</row>
    <row r="280" ht="14.25" customHeight="1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</row>
    <row r="281" ht="14.25" customHeight="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</row>
    <row r="282" ht="14.25" customHeight="1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</row>
    <row r="283" ht="14.25" customHeight="1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</row>
    <row r="284" ht="14.25" customHeight="1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</row>
    <row r="285" ht="14.25" customHeight="1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</row>
    <row r="286" ht="14.25" customHeight="1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</row>
    <row r="287" ht="14.25" customHeight="1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</row>
    <row r="288" ht="14.25" customHeight="1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</row>
    <row r="289" ht="14.25" customHeight="1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</row>
    <row r="290" ht="14.25" customHeight="1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</row>
    <row r="291" ht="14.25" customHeight="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</row>
    <row r="292" ht="14.25" customHeight="1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</row>
    <row r="293" ht="14.25" customHeight="1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</row>
    <row r="294" ht="14.25" customHeight="1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</row>
    <row r="295" ht="14.25" customHeight="1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</row>
    <row r="296" ht="14.25" customHeight="1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</row>
    <row r="297" ht="14.25" customHeight="1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</row>
    <row r="298" ht="14.25" customHeight="1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</row>
    <row r="299" ht="14.25" customHeight="1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</row>
    <row r="300" ht="14.25" customHeight="1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</row>
    <row r="301" ht="14.25" customHeight="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</row>
    <row r="302" ht="14.25" customHeight="1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</row>
    <row r="303" ht="14.25" customHeight="1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</row>
    <row r="304" ht="14.25" customHeight="1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</row>
    <row r="305" ht="14.25" customHeight="1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</row>
    <row r="306" ht="14.25" customHeight="1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</row>
    <row r="307" ht="14.25" customHeight="1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</row>
    <row r="308" ht="14.25" customHeight="1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</row>
    <row r="309" ht="14.25" customHeight="1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</row>
    <row r="310" ht="14.25" customHeight="1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</row>
    <row r="311" ht="14.25" customHeight="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</row>
    <row r="312" ht="14.25" customHeight="1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</row>
    <row r="313" ht="14.25" customHeight="1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</row>
    <row r="314" ht="14.25" customHeight="1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</row>
    <row r="315" ht="14.25" customHeight="1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</row>
    <row r="316" ht="14.25" customHeight="1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</row>
    <row r="317" ht="14.25" customHeight="1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</row>
    <row r="318" ht="14.25" customHeight="1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</row>
    <row r="319" ht="14.25" customHeight="1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</row>
    <row r="320" ht="14.25" customHeight="1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</row>
    <row r="321" ht="14.25" customHeight="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</row>
    <row r="322" ht="14.25" customHeight="1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</row>
    <row r="323" ht="14.25" customHeight="1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</row>
    <row r="324" ht="14.25" customHeight="1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</row>
    <row r="325" ht="14.25" customHeight="1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</row>
    <row r="326" ht="14.25" customHeight="1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</row>
    <row r="327" ht="14.25" customHeight="1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</row>
    <row r="328" ht="14.25" customHeight="1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</row>
    <row r="329" ht="14.25" customHeight="1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</row>
    <row r="330" ht="14.25" customHeight="1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</row>
    <row r="331" ht="14.25" customHeight="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</row>
    <row r="332" ht="14.25" customHeight="1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</row>
    <row r="333" ht="14.25" customHeight="1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</row>
    <row r="334" ht="14.25" customHeight="1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</row>
    <row r="335" ht="14.25" customHeight="1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</row>
    <row r="336" ht="14.25" customHeight="1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</row>
    <row r="337" ht="14.25" customHeight="1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</row>
    <row r="338" ht="14.25" customHeight="1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</row>
    <row r="339" ht="14.25" customHeight="1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</row>
    <row r="340" ht="14.25" customHeight="1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</row>
    <row r="341" ht="14.25" customHeight="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</row>
    <row r="342" ht="14.25" customHeight="1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</row>
    <row r="343" ht="14.25" customHeight="1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</row>
    <row r="344" ht="14.25" customHeight="1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</row>
    <row r="345" ht="14.25" customHeight="1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</row>
    <row r="346" ht="14.25" customHeight="1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</row>
    <row r="347" ht="14.25" customHeight="1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</row>
    <row r="348" ht="14.25" customHeight="1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</row>
    <row r="349" ht="14.25" customHeight="1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</row>
    <row r="350" ht="14.25" customHeight="1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</row>
    <row r="351" ht="14.25" customHeight="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</row>
    <row r="352" ht="14.25" customHeight="1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</row>
    <row r="353" ht="14.25" customHeight="1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</row>
    <row r="354" ht="14.25" customHeight="1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</row>
    <row r="355" ht="14.25" customHeight="1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</row>
    <row r="356" ht="14.25" customHeight="1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</row>
    <row r="357" ht="14.25" customHeight="1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</row>
    <row r="358" ht="14.25" customHeight="1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</row>
    <row r="359" ht="14.25" customHeight="1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</row>
    <row r="360" ht="14.25" customHeight="1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</row>
    <row r="361" ht="14.25" customHeight="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</row>
    <row r="362" ht="14.25" customHeight="1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</row>
    <row r="363" ht="14.25" customHeight="1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</row>
    <row r="364" ht="14.25" customHeight="1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</row>
    <row r="365" ht="14.25" customHeight="1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</row>
    <row r="366" ht="14.25" customHeight="1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</row>
    <row r="367" ht="14.25" customHeight="1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</row>
    <row r="368" ht="14.25" customHeight="1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</row>
    <row r="369" ht="14.25" customHeight="1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</row>
    <row r="370" ht="14.25" customHeight="1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</row>
    <row r="371" ht="14.25" customHeight="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</row>
    <row r="372" ht="14.25" customHeight="1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</row>
    <row r="373" ht="14.25" customHeight="1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</row>
    <row r="374" ht="14.25" customHeight="1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</row>
    <row r="375" ht="14.25" customHeight="1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</row>
    <row r="376" ht="14.25" customHeight="1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</row>
    <row r="377" ht="14.25" customHeight="1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</row>
    <row r="378" ht="14.25" customHeight="1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</row>
    <row r="379" ht="14.25" customHeight="1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</row>
    <row r="380" ht="14.25" customHeight="1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</row>
    <row r="381" ht="14.25" customHeight="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</row>
    <row r="382" ht="14.25" customHeight="1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</row>
    <row r="383" ht="14.25" customHeight="1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</row>
    <row r="384" ht="14.25" customHeight="1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</row>
    <row r="385" ht="14.25" customHeight="1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</row>
    <row r="386" ht="14.25" customHeight="1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</row>
    <row r="387" ht="14.25" customHeight="1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</row>
    <row r="388" ht="14.25" customHeight="1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</row>
    <row r="389" ht="14.25" customHeight="1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</row>
    <row r="390" ht="14.25" customHeight="1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</row>
    <row r="391" ht="14.25" customHeight="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</row>
    <row r="392" ht="14.25" customHeight="1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</row>
    <row r="393" ht="14.25" customHeight="1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</row>
    <row r="394" ht="14.25" customHeight="1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</row>
    <row r="395" ht="14.25" customHeight="1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</row>
    <row r="396" ht="14.25" customHeight="1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</row>
    <row r="397" ht="14.25" customHeight="1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</row>
    <row r="398" ht="14.25" customHeight="1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</row>
    <row r="399" ht="14.25" customHeight="1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</row>
    <row r="400" ht="14.25" customHeight="1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</row>
    <row r="401" ht="14.25" customHeight="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</row>
    <row r="402" ht="14.25" customHeight="1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</row>
    <row r="403" ht="14.25" customHeight="1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</row>
    <row r="404" ht="14.25" customHeight="1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</row>
    <row r="405" ht="14.25" customHeight="1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</row>
    <row r="406" ht="14.25" customHeight="1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</row>
    <row r="407" ht="14.25" customHeight="1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</row>
    <row r="408" ht="14.25" customHeight="1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</row>
    <row r="409" ht="14.25" customHeight="1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</row>
    <row r="410" ht="14.25" customHeight="1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</row>
    <row r="411" ht="14.25" customHeight="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</row>
    <row r="412" ht="14.25" customHeight="1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</row>
    <row r="413" ht="14.25" customHeight="1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</row>
    <row r="414" ht="14.25" customHeight="1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</row>
    <row r="415" ht="14.25" customHeight="1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</row>
    <row r="416" ht="14.25" customHeight="1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</row>
    <row r="417" ht="14.25" customHeight="1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</row>
    <row r="418" ht="14.25" customHeight="1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</row>
    <row r="419" ht="14.25" customHeight="1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</row>
    <row r="420" ht="14.25" customHeight="1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</row>
    <row r="421" ht="14.25" customHeight="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</row>
    <row r="422" ht="14.25" customHeight="1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</row>
    <row r="423" ht="14.25" customHeight="1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</row>
    <row r="424" ht="14.25" customHeight="1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</row>
    <row r="425" ht="14.25" customHeight="1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</row>
    <row r="426" ht="14.25" customHeight="1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</row>
    <row r="427" ht="14.25" customHeight="1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</row>
    <row r="428" ht="14.25" customHeight="1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</row>
    <row r="429" ht="14.25" customHeight="1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</row>
    <row r="430" ht="14.25" customHeight="1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</row>
    <row r="431" ht="14.25" customHeight="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</row>
    <row r="432" ht="14.25" customHeight="1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</row>
    <row r="433" ht="14.25" customHeight="1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</row>
    <row r="434" ht="14.25" customHeight="1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</row>
    <row r="435" ht="14.25" customHeight="1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</row>
    <row r="436" ht="14.25" customHeight="1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</row>
    <row r="437" ht="14.25" customHeight="1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</row>
    <row r="438" ht="14.25" customHeight="1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</row>
    <row r="439" ht="14.25" customHeight="1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</row>
    <row r="440" ht="14.25" customHeight="1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</row>
    <row r="441" ht="14.25" customHeight="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</row>
    <row r="442" ht="14.25" customHeight="1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</row>
    <row r="443" ht="14.25" customHeight="1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</row>
    <row r="444" ht="14.25" customHeight="1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</row>
    <row r="445" ht="14.25" customHeight="1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</row>
    <row r="446" ht="14.25" customHeight="1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</row>
    <row r="447" ht="14.25" customHeight="1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</row>
    <row r="448" ht="14.25" customHeight="1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</row>
    <row r="449" ht="14.25" customHeight="1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</row>
    <row r="450" ht="14.25" customHeight="1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</row>
    <row r="451" ht="14.25" customHeight="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</row>
    <row r="452" ht="14.25" customHeight="1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</row>
    <row r="453" ht="14.25" customHeight="1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</row>
    <row r="454" ht="14.25" customHeight="1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</row>
    <row r="455" ht="14.25" customHeight="1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</row>
    <row r="456" ht="14.25" customHeight="1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</row>
    <row r="457" ht="14.25" customHeight="1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</row>
    <row r="458" ht="14.25" customHeight="1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</row>
    <row r="459" ht="14.25" customHeight="1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</row>
    <row r="460" ht="14.25" customHeight="1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</row>
    <row r="461" ht="14.25" customHeight="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</row>
    <row r="462" ht="14.25" customHeight="1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</row>
    <row r="463" ht="14.25" customHeight="1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</row>
    <row r="464" ht="14.25" customHeight="1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</row>
    <row r="465" ht="14.25" customHeight="1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</row>
    <row r="466" ht="14.25" customHeight="1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</row>
    <row r="467" ht="14.25" customHeight="1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</row>
    <row r="468" ht="14.25" customHeight="1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</row>
    <row r="469" ht="14.25" customHeight="1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</row>
    <row r="470" ht="14.25" customHeight="1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</row>
    <row r="471" ht="14.25" customHeight="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</row>
    <row r="472" ht="14.25" customHeight="1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</row>
    <row r="473" ht="14.25" customHeight="1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</row>
    <row r="474" ht="14.25" customHeight="1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</row>
    <row r="475" ht="14.25" customHeight="1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</row>
    <row r="476" ht="14.25" customHeight="1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</row>
    <row r="477" ht="14.25" customHeight="1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</row>
    <row r="478" ht="14.25" customHeight="1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</row>
    <row r="479" ht="14.25" customHeight="1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</row>
    <row r="480" ht="14.25" customHeight="1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</row>
    <row r="481" ht="14.25" customHeight="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</row>
    <row r="482" ht="14.25" customHeight="1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</row>
    <row r="483" ht="14.25" customHeight="1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</row>
    <row r="484" ht="14.25" customHeight="1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</row>
    <row r="485" ht="14.25" customHeight="1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</row>
    <row r="486" ht="14.25" customHeight="1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</row>
    <row r="487" ht="14.25" customHeight="1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</row>
    <row r="488" ht="14.25" customHeight="1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</row>
    <row r="489" ht="14.25" customHeight="1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</row>
    <row r="490" ht="14.25" customHeight="1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</row>
    <row r="491" ht="14.25" customHeight="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</row>
    <row r="492" ht="14.25" customHeight="1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</row>
    <row r="493" ht="14.25" customHeight="1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</row>
    <row r="494" ht="14.25" customHeight="1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</row>
    <row r="495" ht="14.25" customHeight="1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</row>
    <row r="496" ht="14.25" customHeight="1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</row>
    <row r="497" ht="14.25" customHeight="1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</row>
    <row r="498" ht="14.25" customHeight="1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</row>
    <row r="499" ht="14.25" customHeight="1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</row>
    <row r="500" ht="14.25" customHeight="1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</row>
    <row r="501" ht="14.25" customHeight="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</row>
    <row r="502" ht="14.25" customHeight="1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</row>
    <row r="503" ht="14.25" customHeight="1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</row>
    <row r="504" ht="14.25" customHeight="1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</row>
    <row r="505" ht="14.25" customHeight="1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</row>
    <row r="506" ht="14.25" customHeight="1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</row>
    <row r="507" ht="14.25" customHeight="1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</row>
    <row r="508" ht="14.25" customHeight="1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</row>
    <row r="509" ht="14.25" customHeight="1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</row>
    <row r="510" ht="14.25" customHeight="1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</row>
    <row r="511" ht="14.25" customHeight="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</row>
    <row r="512" ht="14.25" customHeight="1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</row>
    <row r="513" ht="14.25" customHeight="1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</row>
    <row r="514" ht="14.25" customHeight="1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</row>
    <row r="515" ht="14.25" customHeight="1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</row>
    <row r="516" ht="14.25" customHeight="1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</row>
    <row r="517" ht="14.25" customHeight="1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</row>
    <row r="518" ht="14.25" customHeight="1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</row>
    <row r="519" ht="14.25" customHeight="1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</row>
    <row r="520" ht="14.25" customHeight="1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</row>
    <row r="521" ht="14.25" customHeight="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</row>
    <row r="522" ht="14.25" customHeight="1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</row>
    <row r="523" ht="14.25" customHeight="1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</row>
    <row r="524" ht="14.25" customHeight="1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</row>
    <row r="525" ht="14.25" customHeight="1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</row>
    <row r="526" ht="14.25" customHeight="1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</row>
    <row r="527" ht="14.25" customHeight="1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</row>
    <row r="528" ht="14.25" customHeight="1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</row>
    <row r="529" ht="14.25" customHeight="1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</row>
    <row r="530" ht="14.25" customHeight="1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</row>
    <row r="531" ht="14.25" customHeight="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</row>
    <row r="532" ht="14.25" customHeight="1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</row>
    <row r="533" ht="14.25" customHeight="1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</row>
    <row r="534" ht="14.25" customHeight="1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</row>
    <row r="535" ht="14.25" customHeight="1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</row>
    <row r="536" ht="14.25" customHeight="1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</row>
    <row r="537" ht="14.25" customHeight="1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</row>
    <row r="538" ht="14.25" customHeight="1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</row>
    <row r="539" ht="14.25" customHeight="1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</row>
    <row r="540" ht="14.25" customHeight="1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</row>
    <row r="541" ht="14.25" customHeight="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</row>
    <row r="542" ht="14.25" customHeight="1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</row>
    <row r="543" ht="14.25" customHeight="1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</row>
    <row r="544" ht="14.25" customHeight="1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</row>
    <row r="545" ht="14.25" customHeight="1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</row>
    <row r="546" ht="14.25" customHeight="1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</row>
    <row r="547" ht="14.25" customHeight="1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</row>
    <row r="548" ht="14.25" customHeight="1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</row>
    <row r="549" ht="14.25" customHeight="1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</row>
    <row r="550" ht="14.25" customHeight="1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</row>
    <row r="551" ht="14.25" customHeight="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</row>
    <row r="552" ht="14.25" customHeight="1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</row>
    <row r="553" ht="14.25" customHeight="1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</row>
    <row r="554" ht="14.25" customHeight="1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</row>
    <row r="555" ht="14.25" customHeight="1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</row>
    <row r="556" ht="14.25" customHeight="1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</row>
    <row r="557" ht="14.25" customHeight="1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</row>
    <row r="558" ht="14.25" customHeight="1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</row>
    <row r="559" ht="14.25" customHeight="1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</row>
    <row r="560" ht="14.25" customHeight="1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</row>
    <row r="561" ht="14.25" customHeight="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</row>
    <row r="562" ht="14.25" customHeight="1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</row>
    <row r="563" ht="14.25" customHeight="1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</row>
    <row r="564" ht="14.25" customHeight="1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</row>
    <row r="565" ht="14.25" customHeight="1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</row>
    <row r="566" ht="14.25" customHeight="1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</row>
    <row r="567" ht="14.25" customHeight="1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</row>
    <row r="568" ht="14.25" customHeight="1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</row>
    <row r="569" ht="14.25" customHeight="1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</row>
    <row r="570" ht="14.25" customHeight="1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</row>
    <row r="571" ht="14.25" customHeight="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</row>
    <row r="572" ht="14.25" customHeight="1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</row>
    <row r="573" ht="14.25" customHeight="1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</row>
    <row r="574" ht="14.25" customHeight="1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</row>
    <row r="575" ht="14.25" customHeight="1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</row>
    <row r="576" ht="14.25" customHeight="1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</row>
    <row r="577" ht="14.25" customHeight="1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</row>
    <row r="578" ht="14.25" customHeight="1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</row>
    <row r="579" ht="14.25" customHeight="1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</row>
    <row r="580" ht="14.25" customHeight="1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</row>
    <row r="581" ht="14.25" customHeight="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</row>
    <row r="582" ht="14.25" customHeight="1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</row>
    <row r="583" ht="14.25" customHeight="1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</row>
    <row r="584" ht="14.25" customHeight="1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</row>
    <row r="585" ht="14.25" customHeight="1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</row>
    <row r="586" ht="14.25" customHeight="1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</row>
    <row r="587" ht="14.25" customHeight="1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</row>
    <row r="588" ht="14.25" customHeight="1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</row>
    <row r="589" ht="14.25" customHeight="1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</row>
    <row r="590" ht="14.25" customHeight="1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</row>
    <row r="591" ht="14.25" customHeight="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</row>
    <row r="592" ht="14.25" customHeight="1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</row>
    <row r="593" ht="14.25" customHeight="1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</row>
    <row r="594" ht="14.25" customHeight="1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</row>
    <row r="595" ht="14.25" customHeight="1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</row>
    <row r="596" ht="14.25" customHeight="1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</row>
    <row r="597" ht="14.25" customHeight="1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</row>
    <row r="598" ht="14.25" customHeight="1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</row>
    <row r="599" ht="14.25" customHeight="1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</row>
    <row r="600" ht="14.25" customHeight="1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</row>
    <row r="601" ht="14.25" customHeight="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</row>
    <row r="602" ht="14.25" customHeight="1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</row>
    <row r="603" ht="14.25" customHeight="1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</row>
    <row r="604" ht="14.25" customHeight="1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</row>
    <row r="605" ht="14.25" customHeight="1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</row>
    <row r="606" ht="14.25" customHeight="1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</row>
    <row r="607" ht="14.25" customHeight="1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</row>
    <row r="608" ht="14.25" customHeight="1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</row>
    <row r="609" ht="14.25" customHeight="1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</row>
    <row r="610" ht="14.25" customHeight="1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</row>
    <row r="611" ht="14.25" customHeight="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</row>
    <row r="612" ht="14.25" customHeight="1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</row>
    <row r="613" ht="14.25" customHeight="1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</row>
    <row r="614" ht="14.25" customHeight="1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</row>
    <row r="615" ht="14.25" customHeight="1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</row>
    <row r="616" ht="14.25" customHeight="1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</row>
    <row r="617" ht="14.25" customHeight="1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</row>
    <row r="618" ht="14.25" customHeight="1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</row>
    <row r="619" ht="14.25" customHeight="1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</row>
    <row r="620" ht="14.25" customHeight="1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</row>
    <row r="621" ht="14.25" customHeight="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</row>
    <row r="622" ht="14.25" customHeight="1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</row>
    <row r="623" ht="14.25" customHeight="1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</row>
    <row r="624" ht="14.25" customHeight="1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</row>
    <row r="625" ht="14.25" customHeight="1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</row>
    <row r="626" ht="14.25" customHeight="1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</row>
    <row r="627" ht="14.25" customHeight="1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</row>
    <row r="628" ht="14.25" customHeight="1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</row>
    <row r="629" ht="14.25" customHeight="1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</row>
    <row r="630" ht="14.25" customHeight="1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</row>
    <row r="631" ht="14.25" customHeight="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</row>
    <row r="632" ht="14.25" customHeight="1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</row>
    <row r="633" ht="14.25" customHeight="1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</row>
    <row r="634" ht="14.25" customHeight="1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</row>
    <row r="635" ht="14.25" customHeight="1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</row>
    <row r="636" ht="14.25" customHeight="1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</row>
    <row r="637" ht="14.25" customHeight="1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</row>
    <row r="638" ht="14.25" customHeight="1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</row>
    <row r="639" ht="14.25" customHeight="1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</row>
    <row r="640" ht="14.25" customHeight="1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</row>
    <row r="641" ht="14.25" customHeight="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</row>
    <row r="642" ht="14.25" customHeight="1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</row>
    <row r="643" ht="14.25" customHeight="1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</row>
    <row r="644" ht="14.25" customHeight="1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</row>
    <row r="645" ht="14.25" customHeight="1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</row>
    <row r="646" ht="14.25" customHeight="1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</row>
    <row r="647" ht="14.25" customHeight="1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</row>
    <row r="648" ht="14.25" customHeight="1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</row>
    <row r="649" ht="14.25" customHeight="1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</row>
    <row r="650" ht="14.25" customHeight="1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</row>
    <row r="651" ht="14.25" customHeight="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</row>
    <row r="652" ht="14.25" customHeight="1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</row>
    <row r="653" ht="14.25" customHeight="1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</row>
    <row r="654" ht="14.25" customHeight="1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</row>
    <row r="655" ht="14.25" customHeight="1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</row>
    <row r="656" ht="14.25" customHeight="1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</row>
    <row r="657" ht="14.25" customHeight="1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</row>
    <row r="658" ht="14.25" customHeight="1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</row>
    <row r="659" ht="14.25" customHeight="1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</row>
    <row r="660" ht="14.25" customHeight="1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</row>
    <row r="661" ht="14.25" customHeight="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</row>
    <row r="662" ht="14.25" customHeight="1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</row>
    <row r="663" ht="14.25" customHeight="1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</row>
    <row r="664" ht="14.25" customHeight="1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</row>
    <row r="665" ht="14.25" customHeight="1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</row>
    <row r="666" ht="14.25" customHeight="1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</row>
    <row r="667" ht="14.25" customHeight="1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</row>
    <row r="668" ht="14.25" customHeight="1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</row>
    <row r="669" ht="14.25" customHeight="1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</row>
    <row r="670" ht="14.25" customHeight="1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</row>
    <row r="671" ht="14.25" customHeight="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</row>
    <row r="672" ht="14.25" customHeight="1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</row>
    <row r="673" ht="14.25" customHeight="1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</row>
    <row r="674" ht="14.25" customHeight="1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</row>
    <row r="675" ht="14.25" customHeight="1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</row>
    <row r="676" ht="14.25" customHeight="1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</row>
    <row r="677" ht="14.25" customHeight="1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</row>
    <row r="678" ht="14.25" customHeight="1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</row>
    <row r="679" ht="14.25" customHeight="1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</row>
    <row r="680" ht="14.25" customHeight="1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</row>
    <row r="681" ht="14.25" customHeight="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</row>
    <row r="682" ht="14.25" customHeight="1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</row>
    <row r="683" ht="14.25" customHeight="1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</row>
    <row r="684" ht="14.25" customHeight="1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</row>
    <row r="685" ht="14.25" customHeight="1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</row>
    <row r="686" ht="14.25" customHeight="1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</row>
    <row r="687" ht="14.25" customHeight="1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</row>
    <row r="688" ht="14.25" customHeight="1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</row>
    <row r="689" ht="14.25" customHeight="1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</row>
    <row r="690" ht="14.25" customHeight="1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</row>
    <row r="691" ht="14.25" customHeight="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</row>
    <row r="692" ht="14.25" customHeight="1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</row>
    <row r="693" ht="14.25" customHeight="1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</row>
    <row r="694" ht="14.25" customHeight="1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</row>
    <row r="695" ht="14.25" customHeight="1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</row>
    <row r="696" ht="14.25" customHeight="1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</row>
    <row r="697" ht="14.25" customHeight="1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</row>
    <row r="698" ht="14.25" customHeight="1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</row>
    <row r="699" ht="14.25" customHeight="1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</row>
    <row r="700" ht="14.25" customHeight="1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</row>
    <row r="701" ht="14.25" customHeight="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</row>
    <row r="702" ht="14.25" customHeight="1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</row>
    <row r="703" ht="14.25" customHeight="1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</row>
    <row r="704" ht="14.25" customHeight="1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</row>
    <row r="705" ht="14.25" customHeight="1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</row>
    <row r="706" ht="14.25" customHeight="1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</row>
    <row r="707" ht="14.25" customHeight="1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</row>
    <row r="708" ht="14.25" customHeight="1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</row>
    <row r="709" ht="14.25" customHeight="1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</row>
    <row r="710" ht="14.25" customHeight="1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</row>
    <row r="711" ht="14.25" customHeight="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</row>
    <row r="712" ht="14.25" customHeight="1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</row>
    <row r="713" ht="14.25" customHeight="1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</row>
    <row r="714" ht="14.25" customHeight="1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</row>
    <row r="715" ht="14.25" customHeight="1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</row>
    <row r="716" ht="14.25" customHeight="1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</row>
    <row r="717" ht="14.25" customHeight="1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</row>
    <row r="718" ht="14.25" customHeight="1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</row>
    <row r="719" ht="14.25" customHeight="1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</row>
    <row r="720" ht="14.25" customHeight="1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</row>
    <row r="721" ht="14.25" customHeight="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</row>
    <row r="722" ht="14.25" customHeight="1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</row>
    <row r="723" ht="14.25" customHeight="1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</row>
    <row r="724" ht="14.25" customHeight="1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</row>
    <row r="725" ht="14.25" customHeight="1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</row>
    <row r="726" ht="14.25" customHeight="1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</row>
    <row r="727" ht="14.25" customHeight="1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</row>
    <row r="728" ht="14.25" customHeight="1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</row>
    <row r="729" ht="14.25" customHeight="1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</row>
    <row r="730" ht="14.25" customHeight="1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</row>
    <row r="731" ht="14.25" customHeight="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</row>
    <row r="732" ht="14.25" customHeight="1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</row>
    <row r="733" ht="14.25" customHeight="1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</row>
    <row r="734" ht="14.25" customHeight="1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</row>
    <row r="735" ht="14.25" customHeight="1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</row>
    <row r="736" ht="14.25" customHeight="1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</row>
    <row r="737" ht="14.25" customHeight="1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</row>
    <row r="738" ht="14.25" customHeight="1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</row>
    <row r="739" ht="14.25" customHeight="1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</row>
    <row r="740" ht="14.25" customHeight="1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</row>
    <row r="741" ht="14.25" customHeight="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</row>
    <row r="742" ht="14.25" customHeight="1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</row>
    <row r="743" ht="14.25" customHeight="1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</row>
    <row r="744" ht="14.25" customHeight="1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</row>
    <row r="745" ht="14.25" customHeight="1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</row>
    <row r="746" ht="14.25" customHeight="1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</row>
    <row r="747" ht="14.25" customHeight="1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</row>
    <row r="748" ht="14.25" customHeight="1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</row>
    <row r="749" ht="14.25" customHeight="1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</row>
    <row r="750" ht="14.25" customHeight="1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</row>
    <row r="751" ht="14.25" customHeight="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</row>
    <row r="752" ht="14.25" customHeight="1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</row>
    <row r="753" ht="14.25" customHeight="1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</row>
    <row r="754" ht="14.25" customHeight="1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</row>
    <row r="755" ht="14.25" customHeight="1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</row>
    <row r="756" ht="14.25" customHeight="1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</row>
    <row r="757" ht="14.25" customHeight="1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</row>
    <row r="758" ht="14.25" customHeight="1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</row>
    <row r="759" ht="14.25" customHeight="1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</row>
    <row r="760" ht="14.25" customHeight="1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</row>
    <row r="761" ht="14.25" customHeight="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</row>
    <row r="762" ht="14.25" customHeight="1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</row>
    <row r="763" ht="14.25" customHeight="1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</row>
    <row r="764" ht="14.25" customHeight="1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</row>
    <row r="765" ht="14.25" customHeight="1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</row>
    <row r="766" ht="14.25" customHeight="1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</row>
    <row r="767" ht="14.25" customHeight="1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</row>
    <row r="768" ht="14.25" customHeight="1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</row>
    <row r="769" ht="14.25" customHeight="1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</row>
    <row r="770" ht="14.25" customHeight="1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</row>
    <row r="771" ht="14.25" customHeight="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</row>
    <row r="772" ht="14.25" customHeight="1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</row>
    <row r="773" ht="14.25" customHeight="1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</row>
    <row r="774" ht="14.25" customHeight="1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</row>
    <row r="775" ht="14.25" customHeight="1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</row>
    <row r="776" ht="14.25" customHeight="1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</row>
    <row r="777" ht="14.25" customHeight="1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</row>
    <row r="778" ht="14.25" customHeight="1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</row>
    <row r="779" ht="14.25" customHeight="1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</row>
    <row r="780" ht="14.25" customHeight="1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</row>
    <row r="781" ht="14.25" customHeight="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</row>
    <row r="782" ht="14.25" customHeight="1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</row>
    <row r="783" ht="14.25" customHeight="1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</row>
    <row r="784" ht="14.25" customHeight="1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</row>
    <row r="785" ht="14.25" customHeight="1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</row>
    <row r="786" ht="14.25" customHeight="1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</row>
    <row r="787" ht="14.25" customHeight="1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</row>
    <row r="788" ht="14.25" customHeight="1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</row>
    <row r="789" ht="14.25" customHeight="1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</row>
    <row r="790" ht="14.25" customHeight="1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</row>
    <row r="791" ht="14.25" customHeight="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</row>
    <row r="792" ht="14.25" customHeight="1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</row>
    <row r="793" ht="14.25" customHeight="1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</row>
    <row r="794" ht="14.25" customHeight="1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</row>
    <row r="795" ht="14.25" customHeight="1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</row>
    <row r="796" ht="14.25" customHeight="1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</row>
    <row r="797" ht="14.25" customHeight="1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</row>
    <row r="798" ht="14.25" customHeight="1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</row>
    <row r="799" ht="14.25" customHeight="1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</row>
    <row r="800" ht="14.25" customHeight="1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</row>
    <row r="801" ht="14.25" customHeight="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</row>
    <row r="802" ht="14.25" customHeight="1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</row>
    <row r="803" ht="14.25" customHeight="1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</row>
    <row r="804" ht="14.25" customHeight="1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</row>
    <row r="805" ht="14.25" customHeight="1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</row>
    <row r="806" ht="14.25" customHeight="1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</row>
    <row r="807" ht="14.25" customHeight="1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</row>
    <row r="808" ht="14.25" customHeight="1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</row>
    <row r="809" ht="14.25" customHeight="1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</row>
    <row r="810" ht="14.25" customHeight="1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</row>
    <row r="811" ht="14.25" customHeight="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</row>
    <row r="812" ht="14.25" customHeight="1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</row>
    <row r="813" ht="14.25" customHeight="1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</row>
    <row r="814" ht="14.25" customHeight="1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</row>
    <row r="815" ht="14.25" customHeight="1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</row>
    <row r="816" ht="14.25" customHeight="1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</row>
    <row r="817" ht="14.25" customHeight="1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</row>
    <row r="818" ht="14.25" customHeight="1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</row>
    <row r="819" ht="14.25" customHeight="1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</row>
    <row r="820" ht="14.25" customHeight="1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</row>
    <row r="821" ht="14.25" customHeight="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</row>
    <row r="822" ht="14.25" customHeight="1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</row>
    <row r="823" ht="14.25" customHeight="1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</row>
    <row r="824" ht="14.25" customHeight="1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</row>
    <row r="825" ht="14.25" customHeight="1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</row>
    <row r="826" ht="14.25" customHeight="1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</row>
    <row r="827" ht="14.25" customHeight="1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</row>
    <row r="828" ht="14.25" customHeight="1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</row>
    <row r="829" ht="14.25" customHeight="1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</row>
    <row r="830" ht="14.25" customHeight="1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</row>
    <row r="831" ht="14.25" customHeight="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</row>
    <row r="832" ht="14.25" customHeight="1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</row>
    <row r="833" ht="14.25" customHeight="1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</row>
    <row r="834" ht="14.25" customHeight="1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</row>
    <row r="835" ht="14.25" customHeight="1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</row>
    <row r="836" ht="14.25" customHeight="1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</row>
    <row r="837" ht="14.25" customHeight="1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</row>
    <row r="838" ht="14.25" customHeight="1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</row>
    <row r="839" ht="14.25" customHeight="1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</row>
    <row r="840" ht="14.25" customHeight="1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</row>
    <row r="841" ht="14.25" customHeight="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</row>
    <row r="842" ht="14.25" customHeight="1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</row>
    <row r="843" ht="14.25" customHeight="1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</row>
    <row r="844" ht="14.25" customHeight="1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</row>
    <row r="845" ht="14.25" customHeight="1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</row>
    <row r="846" ht="14.25" customHeight="1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</row>
    <row r="847" ht="14.25" customHeight="1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</row>
    <row r="848" ht="14.25" customHeight="1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</row>
    <row r="849" ht="14.25" customHeight="1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</row>
    <row r="850" ht="14.25" customHeight="1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</row>
    <row r="851" ht="14.25" customHeight="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</row>
    <row r="852" ht="14.25" customHeight="1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</row>
    <row r="853" ht="14.25" customHeight="1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</row>
    <row r="854" ht="14.25" customHeight="1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</row>
    <row r="855" ht="14.25" customHeight="1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</row>
    <row r="856" ht="14.25" customHeight="1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</row>
    <row r="857" ht="14.25" customHeight="1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</row>
    <row r="858" ht="14.25" customHeight="1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</row>
    <row r="859" ht="14.25" customHeight="1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</row>
    <row r="860" ht="14.25" customHeight="1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</row>
    <row r="861" ht="14.25" customHeight="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</row>
    <row r="862" ht="14.25" customHeight="1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</row>
    <row r="863" ht="14.25" customHeight="1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</row>
    <row r="864" ht="14.25" customHeight="1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</row>
    <row r="865" ht="14.25" customHeight="1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</row>
    <row r="866" ht="14.25" customHeight="1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</row>
    <row r="867" ht="14.25" customHeight="1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</row>
    <row r="868" ht="14.25" customHeight="1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</row>
    <row r="869" ht="14.25" customHeight="1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</row>
    <row r="870" ht="14.25" customHeight="1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</row>
    <row r="871" ht="14.25" customHeight="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</row>
    <row r="872" ht="14.25" customHeight="1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</row>
    <row r="873" ht="14.25" customHeight="1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</row>
    <row r="874" ht="14.25" customHeight="1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</row>
    <row r="875" ht="14.25" customHeight="1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</row>
    <row r="876" ht="14.25" customHeight="1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</row>
    <row r="877" ht="14.25" customHeight="1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</row>
    <row r="878" ht="14.25" customHeight="1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</row>
    <row r="879" ht="14.25" customHeight="1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</row>
    <row r="880" ht="14.25" customHeight="1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</row>
    <row r="881" ht="14.25" customHeight="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</row>
    <row r="882" ht="14.25" customHeight="1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</row>
    <row r="883" ht="14.25" customHeight="1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</row>
    <row r="884" ht="14.25" customHeight="1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</row>
    <row r="885" ht="14.25" customHeight="1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</row>
    <row r="886" ht="14.25" customHeight="1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</row>
    <row r="887" ht="14.25" customHeight="1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</row>
    <row r="888" ht="14.25" customHeight="1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</row>
    <row r="889" ht="14.25" customHeight="1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</row>
    <row r="890" ht="14.25" customHeight="1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</row>
    <row r="891" ht="14.25" customHeight="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</row>
    <row r="892" ht="14.25" customHeight="1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</row>
    <row r="893" ht="14.25" customHeight="1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</row>
    <row r="894" ht="14.25" customHeight="1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</row>
    <row r="895" ht="14.25" customHeight="1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</row>
    <row r="896" ht="14.25" customHeight="1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</row>
    <row r="897" ht="14.25" customHeight="1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</row>
    <row r="898" ht="14.25" customHeight="1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</row>
    <row r="899" ht="14.25" customHeight="1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</row>
    <row r="900" ht="14.25" customHeight="1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</row>
    <row r="901" ht="14.25" customHeight="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</row>
    <row r="902" ht="14.25" customHeight="1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</row>
    <row r="903" ht="14.25" customHeight="1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</row>
    <row r="904" ht="14.25" customHeight="1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</row>
    <row r="905" ht="14.25" customHeight="1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</row>
    <row r="906" ht="14.25" customHeight="1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</row>
    <row r="907" ht="14.25" customHeight="1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</row>
    <row r="908" ht="14.25" customHeight="1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</row>
    <row r="909" ht="14.25" customHeight="1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</row>
    <row r="910" ht="14.25" customHeight="1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</row>
    <row r="911" ht="14.25" customHeight="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</row>
    <row r="912" ht="14.25" customHeight="1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</row>
    <row r="913" ht="14.25" customHeight="1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</row>
    <row r="914" ht="14.25" customHeight="1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</row>
    <row r="915" ht="14.25" customHeight="1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</row>
    <row r="916" ht="14.25" customHeight="1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</row>
    <row r="917" ht="14.25" customHeight="1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</row>
    <row r="918" ht="14.25" customHeight="1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</row>
    <row r="919" ht="14.25" customHeight="1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</row>
    <row r="920" ht="14.25" customHeight="1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</row>
    <row r="921" ht="14.25" customHeight="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</row>
    <row r="922" ht="14.25" customHeight="1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</row>
    <row r="923" ht="14.25" customHeight="1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</row>
    <row r="924" ht="14.25" customHeight="1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</row>
    <row r="925" ht="14.25" customHeight="1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</row>
    <row r="926" ht="14.25" customHeight="1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</row>
    <row r="927" ht="14.25" customHeight="1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</row>
    <row r="928" ht="14.25" customHeight="1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</row>
    <row r="929" ht="14.25" customHeight="1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</row>
    <row r="930" ht="14.25" customHeight="1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</row>
    <row r="931" ht="14.25" customHeight="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</row>
    <row r="932" ht="14.25" customHeight="1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</row>
    <row r="933" ht="14.25" customHeight="1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</row>
    <row r="934" ht="14.25" customHeight="1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</row>
    <row r="935" ht="14.25" customHeight="1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</row>
    <row r="936" ht="14.25" customHeight="1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</row>
    <row r="937" ht="14.25" customHeight="1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</row>
    <row r="938" ht="14.25" customHeight="1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</row>
    <row r="939" ht="14.25" customHeight="1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</row>
    <row r="940" ht="14.25" customHeight="1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</row>
    <row r="941" ht="14.25" customHeight="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</row>
    <row r="942" ht="14.25" customHeight="1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</row>
    <row r="943" ht="14.25" customHeight="1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</row>
    <row r="944" ht="14.25" customHeight="1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</row>
    <row r="945" ht="14.25" customHeight="1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</row>
    <row r="946" ht="14.25" customHeight="1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</row>
    <row r="947" ht="14.25" customHeight="1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</row>
    <row r="948" ht="14.25" customHeight="1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</row>
    <row r="949" ht="14.25" customHeight="1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</row>
    <row r="950" ht="14.25" customHeight="1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</row>
    <row r="951" ht="14.25" customHeight="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</row>
    <row r="952" ht="14.25" customHeight="1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</row>
    <row r="953" ht="14.25" customHeight="1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</row>
    <row r="954" ht="14.25" customHeight="1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</row>
    <row r="955" ht="14.25" customHeight="1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</row>
    <row r="956" ht="14.25" customHeight="1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</row>
    <row r="957" ht="14.25" customHeight="1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</row>
    <row r="958" ht="14.25" customHeight="1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</row>
    <row r="959" ht="14.25" customHeight="1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</row>
    <row r="960" ht="14.25" customHeight="1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</row>
    <row r="961" ht="14.25" customHeight="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</row>
    <row r="962" ht="14.25" customHeight="1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</row>
    <row r="963" ht="14.25" customHeight="1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</row>
    <row r="964" ht="14.25" customHeight="1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</row>
    <row r="965" ht="14.25" customHeight="1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</row>
    <row r="966" ht="14.25" customHeight="1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</row>
    <row r="967" ht="14.25" customHeight="1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</row>
    <row r="968" ht="14.25" customHeight="1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</row>
    <row r="969" ht="14.25" customHeight="1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</row>
    <row r="970" ht="14.25" customHeight="1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</row>
    <row r="971" ht="14.25" customHeight="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</row>
    <row r="972" ht="14.25" customHeight="1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</row>
    <row r="973" ht="14.25" customHeight="1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</row>
    <row r="974" ht="14.25" customHeight="1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</row>
    <row r="975" ht="14.25" customHeight="1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</row>
    <row r="976" ht="14.25" customHeight="1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</row>
    <row r="977" ht="14.25" customHeight="1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</row>
    <row r="978" ht="14.25" customHeight="1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</row>
    <row r="979" ht="14.25" customHeight="1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</row>
    <row r="980" ht="14.25" customHeight="1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</row>
    <row r="981" ht="14.25" customHeight="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</row>
    <row r="982" ht="14.25" customHeight="1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</row>
    <row r="983" ht="14.25" customHeight="1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</row>
    <row r="984" ht="14.25" customHeight="1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</row>
    <row r="985" ht="14.25" customHeight="1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</row>
    <row r="986" ht="14.25" customHeight="1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</row>
    <row r="987" ht="14.25" customHeight="1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</row>
    <row r="988" ht="14.25" customHeight="1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</row>
    <row r="989" ht="14.25" customHeight="1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</row>
    <row r="990" ht="14.25" customHeight="1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</row>
    <row r="991" ht="14.25" customHeight="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</row>
    <row r="992" ht="14.25" customHeight="1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</row>
    <row r="993" ht="14.25" customHeight="1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</row>
    <row r="994" ht="14.25" customHeight="1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</row>
    <row r="995" ht="14.25" customHeight="1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</row>
    <row r="996" ht="14.25" customHeight="1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</row>
    <row r="997" ht="14.25" customHeight="1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</row>
    <row r="998" ht="14.25" customHeight="1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</row>
    <row r="999" ht="14.25" customHeight="1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</row>
    <row r="1000" ht="14.25" customHeight="1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</row>
  </sheetData>
  <mergeCells count="7">
    <mergeCell ref="B2:F2"/>
    <mergeCell ref="J12:M12"/>
    <mergeCell ref="J13:K13"/>
    <mergeCell ref="L13:M13"/>
    <mergeCell ref="N13:O13"/>
    <mergeCell ref="H14:I14"/>
    <mergeCell ref="B17:F17"/>
  </mergeCells>
  <conditionalFormatting sqref="H15:I21">
    <cfRule type="expression" dxfId="0" priority="1">
      <formula>LEN(TRIM(H15))&gt;0</formula>
    </cfRule>
  </conditionalFormatting>
  <conditionalFormatting sqref="H22:I22">
    <cfRule type="expression" dxfId="0" priority="2">
      <formula>LEN(TRIM(H22))&gt;0</formula>
    </cfRule>
  </conditionalFormatting>
  <printOptions/>
  <pageMargins bottom="0.3" footer="0.0" header="0.0" left="0.7" right="0.7" top="0.3"/>
  <pageSetup paperSize="9" orientation="portrait"/>
  <drawing r:id="rId1"/>
</worksheet>
</file>