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charts/chart1.xml" ContentType="application/vnd.openxmlformats-officedocument.drawingml.chart+xml"/>
  <Override PartName="/xl/drawings/drawing2.xml" ContentType="application/vnd.openxmlformats-officedocument.drawing+xml"/>
  <Override PartName="/xl/tables/table5.xml" ContentType="application/vnd.openxmlformats-officedocument.spreadsheetml.table+xml"/>
  <Override PartName="/xl/charts/chart2.xml" ContentType="application/vnd.openxmlformats-officedocument.drawingml.chart+xml"/>
  <Override PartName="/xl/drawings/drawing3.xml" ContentType="application/vnd.openxmlformats-officedocument.drawing+xml"/>
  <Override PartName="/xl/tables/table6.xml" ContentType="application/vnd.openxmlformats-officedocument.spreadsheetml.table+xml"/>
  <Override PartName="/xl/charts/chart3.xml" ContentType="application/vnd.openxmlformats-officedocument.drawingml.chart+xml"/>
  <Override PartName="/xl/drawings/drawing4.xml" ContentType="application/vnd.openxmlformats-officedocument.drawing+xml"/>
  <Override PartName="/xl/tables/table7.xml" ContentType="application/vnd.openxmlformats-officedocument.spreadsheetml.table+xml"/>
  <Override PartName="/xl/charts/chart4.xml" ContentType="application/vnd.openxmlformats-officedocument.drawingml.chart+xml"/>
  <Override PartName="/xl/drawings/drawing5.xml" ContentType="application/vnd.openxmlformats-officedocument.drawing+xml"/>
  <Override PartName="/xl/tables/table8.xml" ContentType="application/vnd.openxmlformats-officedocument.spreadsheetml.table+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marti\Documents\assistant\projets-INFO-F307\template-2024\team\"/>
    </mc:Choice>
  </mc:AlternateContent>
  <xr:revisionPtr revIDLastSave="0" documentId="13_ncr:1_{300DC971-2D2D-4F54-A6B4-820A1DE395C1}" xr6:coauthVersionLast="47" xr6:coauthVersionMax="47" xr10:uidLastSave="{00000000-0000-0000-0000-000000000000}"/>
  <bookViews>
    <workbookView xWindow="-28920" yWindow="-120" windowWidth="29040" windowHeight="15720" firstSheet="3" activeTab="8" xr2:uid="{00000000-000D-0000-FFFF-FFFF00000000}"/>
  </bookViews>
  <sheets>
    <sheet name="Stories" sheetId="2" r:id="rId1"/>
    <sheet name="Task_hours" sheetId="3" r:id="rId2"/>
    <sheet name="Tasks" sheetId="4" r:id="rId3"/>
    <sheet name="Calendar" sheetId="5" r:id="rId4"/>
    <sheet name="Burndown Overview" sheetId="6" r:id="rId5"/>
    <sheet name="Iteration-1 (Burndown)" sheetId="7" r:id="rId6"/>
    <sheet name="Iteration-2 (Burndown)" sheetId="8" r:id="rId7"/>
    <sheet name="Iteration-3 (Burndown)" sheetId="9" r:id="rId8"/>
    <sheet name="Iteration-4 (Burndown)" sheetId="10" r:id="rId9"/>
  </sheets>
  <definedNames>
    <definedName name="_xlnm._FilterDatabase" localSheetId="0" hidden="1">Stories!$A$1:$I$23</definedName>
    <definedName name="_xlnm._FilterDatabase" localSheetId="1" hidden="1">Task_hours!$A$3:$H$162</definedName>
    <definedName name="_xlnm._FilterDatabase" localSheetId="2" hidden="1">Tasks!$A$2:$L$175</definedName>
    <definedName name="D">Task_hours!$D$112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3" i="10" l="1"/>
  <c r="Q23" i="10"/>
  <c r="O23" i="10"/>
  <c r="M23" i="10"/>
  <c r="K23" i="10"/>
  <c r="I23" i="10"/>
  <c r="S22" i="10"/>
  <c r="Q22" i="10"/>
  <c r="O22" i="10"/>
  <c r="M22" i="10"/>
  <c r="K22" i="10"/>
  <c r="I22" i="10"/>
  <c r="S21" i="10"/>
  <c r="Q21" i="10"/>
  <c r="O21" i="10"/>
  <c r="M21" i="10"/>
  <c r="K21" i="10"/>
  <c r="I21" i="10"/>
  <c r="S20" i="10"/>
  <c r="Q20" i="10"/>
  <c r="O20" i="10"/>
  <c r="M20" i="10"/>
  <c r="K20" i="10"/>
  <c r="I20" i="10"/>
  <c r="S19" i="10"/>
  <c r="Q19" i="10"/>
  <c r="O19" i="10"/>
  <c r="M19" i="10"/>
  <c r="K19" i="10"/>
  <c r="I19" i="10"/>
  <c r="S18" i="10"/>
  <c r="Q18" i="10"/>
  <c r="O18" i="10"/>
  <c r="M18" i="10"/>
  <c r="K18" i="10"/>
  <c r="I18" i="10"/>
  <c r="S17" i="10"/>
  <c r="Q17" i="10"/>
  <c r="O17" i="10"/>
  <c r="M17" i="10"/>
  <c r="K17" i="10"/>
  <c r="I17" i="10"/>
  <c r="S16" i="10"/>
  <c r="Q16" i="10"/>
  <c r="O16" i="10"/>
  <c r="M16" i="10"/>
  <c r="K16" i="10"/>
  <c r="I16" i="10"/>
  <c r="S15" i="10"/>
  <c r="Q15" i="10"/>
  <c r="O15" i="10"/>
  <c r="M15" i="10"/>
  <c r="K15" i="10"/>
  <c r="I15" i="10"/>
  <c r="S14" i="10"/>
  <c r="Q14" i="10"/>
  <c r="O14" i="10"/>
  <c r="M14" i="10"/>
  <c r="K14" i="10"/>
  <c r="I14" i="10"/>
  <c r="S13" i="10"/>
  <c r="Q13" i="10"/>
  <c r="O13" i="10"/>
  <c r="M13" i="10"/>
  <c r="K13" i="10"/>
  <c r="I13" i="10"/>
  <c r="S12" i="10"/>
  <c r="Q12" i="10"/>
  <c r="O12" i="10"/>
  <c r="M12" i="10"/>
  <c r="K12" i="10"/>
  <c r="I12" i="10"/>
  <c r="S11" i="10"/>
  <c r="Q11" i="10"/>
  <c r="O11" i="10"/>
  <c r="M11" i="10"/>
  <c r="K11" i="10"/>
  <c r="I11" i="10"/>
  <c r="S10" i="10"/>
  <c r="Q10" i="10"/>
  <c r="O10" i="10"/>
  <c r="M10" i="10"/>
  <c r="K10" i="10"/>
  <c r="I10" i="10"/>
  <c r="S9" i="10"/>
  <c r="Q9" i="10"/>
  <c r="O9" i="10"/>
  <c r="M9" i="10"/>
  <c r="K9" i="10"/>
  <c r="I9" i="10"/>
  <c r="S8" i="10"/>
  <c r="Q8" i="10"/>
  <c r="O8" i="10"/>
  <c r="M8" i="10"/>
  <c r="K8" i="10"/>
  <c r="I8" i="10"/>
  <c r="S7" i="10"/>
  <c r="Q7" i="10"/>
  <c r="O7" i="10"/>
  <c r="M7" i="10"/>
  <c r="K7" i="10"/>
  <c r="I7" i="10"/>
  <c r="S6" i="10"/>
  <c r="Q6" i="10"/>
  <c r="O6" i="10"/>
  <c r="M6" i="10"/>
  <c r="K6" i="10"/>
  <c r="I6" i="10"/>
  <c r="S5" i="10"/>
  <c r="Q5" i="10"/>
  <c r="O5" i="10"/>
  <c r="M5" i="10"/>
  <c r="K5" i="10"/>
  <c r="I5" i="10"/>
  <c r="S4" i="10"/>
  <c r="Q4" i="10"/>
  <c r="O4" i="10"/>
  <c r="M4" i="10"/>
  <c r="K4" i="10"/>
  <c r="I4" i="10"/>
  <c r="S3" i="10"/>
  <c r="Q3" i="10"/>
  <c r="O3" i="10"/>
  <c r="M3" i="10"/>
  <c r="K3" i="10"/>
  <c r="I3" i="10"/>
  <c r="S16" i="9"/>
  <c r="Q16" i="9"/>
  <c r="O16" i="9"/>
  <c r="M16" i="9"/>
  <c r="K16" i="9"/>
  <c r="I16" i="9"/>
  <c r="S15" i="9"/>
  <c r="Q15" i="9"/>
  <c r="O15" i="9"/>
  <c r="M15" i="9"/>
  <c r="K15" i="9"/>
  <c r="I15" i="9"/>
  <c r="S14" i="9"/>
  <c r="Q14" i="9"/>
  <c r="O14" i="9"/>
  <c r="M14" i="9"/>
  <c r="K14" i="9"/>
  <c r="I14" i="9"/>
  <c r="S13" i="9"/>
  <c r="Q13" i="9"/>
  <c r="O13" i="9"/>
  <c r="M13" i="9"/>
  <c r="K13" i="9"/>
  <c r="I13" i="9"/>
  <c r="S12" i="9"/>
  <c r="Q12" i="9"/>
  <c r="O12" i="9"/>
  <c r="M12" i="9"/>
  <c r="K12" i="9"/>
  <c r="I12" i="9"/>
  <c r="S11" i="9"/>
  <c r="Q11" i="9"/>
  <c r="O11" i="9"/>
  <c r="M11" i="9"/>
  <c r="K11" i="9"/>
  <c r="I11" i="9"/>
  <c r="S10" i="9"/>
  <c r="Q10" i="9"/>
  <c r="O10" i="9"/>
  <c r="M10" i="9"/>
  <c r="K10" i="9"/>
  <c r="I10" i="9"/>
  <c r="S9" i="9"/>
  <c r="Q9" i="9"/>
  <c r="O9" i="9"/>
  <c r="M9" i="9"/>
  <c r="K9" i="9"/>
  <c r="I9" i="9"/>
  <c r="S8" i="9"/>
  <c r="Q8" i="9"/>
  <c r="O8" i="9"/>
  <c r="M8" i="9"/>
  <c r="K8" i="9"/>
  <c r="I8" i="9"/>
  <c r="S7" i="9"/>
  <c r="Q7" i="9"/>
  <c r="O7" i="9"/>
  <c r="M7" i="9"/>
  <c r="K7" i="9"/>
  <c r="I7" i="9"/>
  <c r="S6" i="9"/>
  <c r="Q6" i="9"/>
  <c r="O6" i="9"/>
  <c r="M6" i="9"/>
  <c r="K6" i="9"/>
  <c r="I6" i="9"/>
  <c r="S5" i="9"/>
  <c r="Q5" i="9"/>
  <c r="O5" i="9"/>
  <c r="M5" i="9"/>
  <c r="K5" i="9"/>
  <c r="I5" i="9"/>
  <c r="S4" i="9"/>
  <c r="Q4" i="9"/>
  <c r="O4" i="9"/>
  <c r="M4" i="9"/>
  <c r="K4" i="9"/>
  <c r="I4" i="9"/>
  <c r="S3" i="9"/>
  <c r="Q3" i="9"/>
  <c r="O3" i="9"/>
  <c r="M3" i="9"/>
  <c r="K3" i="9"/>
  <c r="I3" i="9"/>
  <c r="AA16" i="8"/>
  <c r="Y16" i="8"/>
  <c r="W16" i="8"/>
  <c r="U16" i="8"/>
  <c r="S16" i="8"/>
  <c r="Q16" i="8"/>
  <c r="O16" i="8"/>
  <c r="M16" i="8"/>
  <c r="K16" i="8"/>
  <c r="I16" i="8"/>
  <c r="AA15" i="8"/>
  <c r="Y15" i="8"/>
  <c r="W15" i="8"/>
  <c r="U15" i="8"/>
  <c r="S15" i="8"/>
  <c r="Q15" i="8"/>
  <c r="O15" i="8"/>
  <c r="M15" i="8"/>
  <c r="K15" i="8"/>
  <c r="I15" i="8"/>
  <c r="AA14" i="8"/>
  <c r="Y14" i="8"/>
  <c r="W14" i="8"/>
  <c r="U14" i="8"/>
  <c r="S14" i="8"/>
  <c r="Q14" i="8"/>
  <c r="O14" i="8"/>
  <c r="M14" i="8"/>
  <c r="K14" i="8"/>
  <c r="I14" i="8"/>
  <c r="AA13" i="8"/>
  <c r="Y13" i="8"/>
  <c r="W13" i="8"/>
  <c r="U13" i="8"/>
  <c r="S13" i="8"/>
  <c r="Q13" i="8"/>
  <c r="O13" i="8"/>
  <c r="M13" i="8"/>
  <c r="K13" i="8"/>
  <c r="I13" i="8"/>
  <c r="AA12" i="8"/>
  <c r="Y12" i="8"/>
  <c r="W12" i="8"/>
  <c r="U12" i="8"/>
  <c r="S12" i="8"/>
  <c r="Q12" i="8"/>
  <c r="O12" i="8"/>
  <c r="M12" i="8"/>
  <c r="K12" i="8"/>
  <c r="I12" i="8"/>
  <c r="AA11" i="8"/>
  <c r="Y11" i="8"/>
  <c r="W11" i="8"/>
  <c r="U11" i="8"/>
  <c r="S11" i="8"/>
  <c r="Q11" i="8"/>
  <c r="O11" i="8"/>
  <c r="M11" i="8"/>
  <c r="K11" i="8"/>
  <c r="I11" i="8"/>
  <c r="AA10" i="8"/>
  <c r="Y10" i="8"/>
  <c r="W10" i="8"/>
  <c r="U10" i="8"/>
  <c r="S10" i="8"/>
  <c r="Q10" i="8"/>
  <c r="O10" i="8"/>
  <c r="M10" i="8"/>
  <c r="K10" i="8"/>
  <c r="I10" i="8"/>
  <c r="AA9" i="8"/>
  <c r="Y9" i="8"/>
  <c r="W9" i="8"/>
  <c r="U9" i="8"/>
  <c r="S9" i="8"/>
  <c r="Q9" i="8"/>
  <c r="O9" i="8"/>
  <c r="M9" i="8"/>
  <c r="K9" i="8"/>
  <c r="I9" i="8"/>
  <c r="AA8" i="8"/>
  <c r="Y8" i="8"/>
  <c r="W8" i="8"/>
  <c r="U8" i="8"/>
  <c r="S8" i="8"/>
  <c r="Q8" i="8"/>
  <c r="O8" i="8"/>
  <c r="M8" i="8"/>
  <c r="K8" i="8"/>
  <c r="I8" i="8"/>
  <c r="AA7" i="8"/>
  <c r="Y7" i="8"/>
  <c r="W7" i="8"/>
  <c r="U7" i="8"/>
  <c r="S7" i="8"/>
  <c r="Q7" i="8"/>
  <c r="O7" i="8"/>
  <c r="M7" i="8"/>
  <c r="K7" i="8"/>
  <c r="I7" i="8"/>
  <c r="AA6" i="8"/>
  <c r="Y6" i="8"/>
  <c r="W6" i="8"/>
  <c r="U6" i="8"/>
  <c r="S6" i="8"/>
  <c r="Q6" i="8"/>
  <c r="O6" i="8"/>
  <c r="M6" i="8"/>
  <c r="K6" i="8"/>
  <c r="I6" i="8"/>
  <c r="AA5" i="8"/>
  <c r="Y5" i="8"/>
  <c r="W5" i="8"/>
  <c r="U5" i="8"/>
  <c r="S5" i="8"/>
  <c r="Q5" i="8"/>
  <c r="O5" i="8"/>
  <c r="M5" i="8"/>
  <c r="K5" i="8"/>
  <c r="I5" i="8"/>
  <c r="AA4" i="8"/>
  <c r="Y4" i="8"/>
  <c r="W4" i="8"/>
  <c r="U4" i="8"/>
  <c r="S4" i="8"/>
  <c r="Q4" i="8"/>
  <c r="O4" i="8"/>
  <c r="M4" i="8"/>
  <c r="K4" i="8"/>
  <c r="I4" i="8"/>
  <c r="AA3" i="8"/>
  <c r="Y3" i="8"/>
  <c r="W3" i="8"/>
  <c r="U3" i="8"/>
  <c r="S3" i="8"/>
  <c r="Q3" i="8"/>
  <c r="O3" i="8"/>
  <c r="M3" i="8"/>
  <c r="K3" i="8"/>
  <c r="I3" i="8"/>
  <c r="M16" i="7"/>
  <c r="K16" i="7"/>
  <c r="I16" i="7"/>
  <c r="M15" i="7"/>
  <c r="K15" i="7"/>
  <c r="I15" i="7"/>
  <c r="M14" i="7"/>
  <c r="K14" i="7"/>
  <c r="I14" i="7"/>
  <c r="M13" i="7"/>
  <c r="K13" i="7"/>
  <c r="I13" i="7"/>
  <c r="M12" i="7"/>
  <c r="K12" i="7"/>
  <c r="I12" i="7"/>
  <c r="M11" i="7"/>
  <c r="K11" i="7"/>
  <c r="I11" i="7"/>
  <c r="M10" i="7"/>
  <c r="K10" i="7"/>
  <c r="I10" i="7"/>
  <c r="M9" i="7"/>
  <c r="K9" i="7"/>
  <c r="I9" i="7"/>
  <c r="M8" i="7"/>
  <c r="K8" i="7"/>
  <c r="I8" i="7"/>
  <c r="M7" i="7"/>
  <c r="K7" i="7"/>
  <c r="I7" i="7"/>
  <c r="M6" i="7"/>
  <c r="K6" i="7"/>
  <c r="I6" i="7"/>
  <c r="M5" i="7"/>
  <c r="K5" i="7"/>
  <c r="I5" i="7"/>
  <c r="N4" i="7"/>
  <c r="M4" i="7"/>
  <c r="K4" i="7"/>
  <c r="I4" i="7"/>
  <c r="M3" i="7"/>
  <c r="K3" i="7"/>
  <c r="I3" i="7"/>
  <c r="B31" i="6"/>
  <c r="C31" i="6" s="1"/>
  <c r="D31" i="6" s="1"/>
  <c r="E31" i="6" s="1"/>
  <c r="F31" i="6" s="1"/>
  <c r="B30" i="6"/>
  <c r="C30" i="6" s="1"/>
  <c r="D30" i="6" s="1"/>
  <c r="E30" i="6" s="1"/>
  <c r="F30" i="6" s="1"/>
  <c r="B29" i="6"/>
  <c r="C29" i="6" s="1"/>
  <c r="D29" i="6" s="1"/>
  <c r="E29" i="6" s="1"/>
  <c r="F29" i="6" s="1"/>
  <c r="B28" i="6"/>
  <c r="C28" i="6" s="1"/>
  <c r="D28" i="6" s="1"/>
  <c r="E28" i="6" s="1"/>
  <c r="F28" i="6" s="1"/>
  <c r="C27" i="6"/>
  <c r="B27" i="6"/>
  <c r="B26" i="6"/>
  <c r="C26" i="6" s="1"/>
  <c r="D26" i="6" s="1"/>
  <c r="E26" i="6" s="1"/>
  <c r="F26" i="6" s="1"/>
  <c r="C25" i="6"/>
  <c r="D25" i="6" s="1"/>
  <c r="E25" i="6" s="1"/>
  <c r="F25" i="6" s="1"/>
  <c r="B25" i="6"/>
  <c r="C24" i="6"/>
  <c r="D24" i="6" s="1"/>
  <c r="E24" i="6" s="1"/>
  <c r="F24" i="6" s="1"/>
  <c r="B24" i="6"/>
  <c r="B23" i="6"/>
  <c r="C23" i="6" s="1"/>
  <c r="D23" i="6" s="1"/>
  <c r="E23" i="6" s="1"/>
  <c r="F23" i="6" s="1"/>
  <c r="B22" i="6"/>
  <c r="C22" i="6" s="1"/>
  <c r="D22" i="6" s="1"/>
  <c r="E22" i="6" s="1"/>
  <c r="F22" i="6" s="1"/>
  <c r="B21" i="6"/>
  <c r="C21" i="6" s="1"/>
  <c r="D21" i="6" s="1"/>
  <c r="E21" i="6" s="1"/>
  <c r="F21" i="6" s="1"/>
  <c r="B20" i="6"/>
  <c r="C20" i="6" s="1"/>
  <c r="D20" i="6" s="1"/>
  <c r="E20" i="6" s="1"/>
  <c r="F20" i="6" s="1"/>
  <c r="D19" i="6"/>
  <c r="E19" i="6" s="1"/>
  <c r="F19" i="6" s="1"/>
  <c r="C19" i="6"/>
  <c r="B19" i="6"/>
  <c r="B18" i="6"/>
  <c r="C18" i="6" s="1"/>
  <c r="D18" i="6" s="1"/>
  <c r="E18" i="6" s="1"/>
  <c r="F18" i="6" s="1"/>
  <c r="C17" i="6"/>
  <c r="D17" i="6" s="1"/>
  <c r="E17" i="6" s="1"/>
  <c r="F17" i="6" s="1"/>
  <c r="B17" i="6"/>
  <c r="C16" i="6"/>
  <c r="D16" i="6" s="1"/>
  <c r="E16" i="6" s="1"/>
  <c r="F16" i="6" s="1"/>
  <c r="B16" i="6"/>
  <c r="C15" i="6"/>
  <c r="D15" i="6" s="1"/>
  <c r="E15" i="6" s="1"/>
  <c r="F15" i="6" s="1"/>
  <c r="B15" i="6"/>
  <c r="B14" i="6"/>
  <c r="C14" i="6" s="1"/>
  <c r="D14" i="6" s="1"/>
  <c r="E14" i="6" s="1"/>
  <c r="F14" i="6" s="1"/>
  <c r="B13" i="6"/>
  <c r="C13" i="6" s="1"/>
  <c r="D13" i="6" s="1"/>
  <c r="E13" i="6" s="1"/>
  <c r="F13" i="6" s="1"/>
  <c r="B12" i="6"/>
  <c r="C12" i="6" s="1"/>
  <c r="D12" i="6" s="1"/>
  <c r="E12" i="6" s="1"/>
  <c r="F12" i="6" s="1"/>
  <c r="D11" i="6"/>
  <c r="E11" i="6" s="1"/>
  <c r="F11" i="6" s="1"/>
  <c r="C11" i="6"/>
  <c r="B11" i="6"/>
  <c r="B10" i="6"/>
  <c r="C10" i="6" s="1"/>
  <c r="D10" i="6" s="1"/>
  <c r="E10" i="6" s="1"/>
  <c r="F10" i="6" s="1"/>
  <c r="C9" i="6"/>
  <c r="D9" i="6" s="1"/>
  <c r="E9" i="6" s="1"/>
  <c r="F9" i="6" s="1"/>
  <c r="B9" i="6"/>
  <c r="C8" i="6"/>
  <c r="D8" i="6" s="1"/>
  <c r="E8" i="6" s="1"/>
  <c r="F8" i="6" s="1"/>
  <c r="B8" i="6"/>
  <c r="C7" i="6"/>
  <c r="D7" i="6" s="1"/>
  <c r="E7" i="6" s="1"/>
  <c r="F7" i="6" s="1"/>
  <c r="B7" i="6"/>
  <c r="B6" i="6"/>
  <c r="C6" i="6" s="1"/>
  <c r="D6" i="6" s="1"/>
  <c r="E6" i="6" s="1"/>
  <c r="F6" i="6" s="1"/>
  <c r="B5" i="6"/>
  <c r="C5" i="6" s="1"/>
  <c r="D5" i="6" s="1"/>
  <c r="E5" i="6" s="1"/>
  <c r="F5" i="6" s="1"/>
  <c r="B4" i="6"/>
  <c r="C4" i="6" s="1"/>
  <c r="D4" i="6" s="1"/>
  <c r="E4" i="6" s="1"/>
  <c r="F4" i="6" s="1"/>
  <c r="C3" i="6"/>
  <c r="B3" i="6"/>
  <c r="B2" i="6"/>
  <c r="I1" i="6" s="1"/>
  <c r="AY41" i="5"/>
  <c r="AX41" i="5"/>
  <c r="AW41" i="5"/>
  <c r="AV41" i="5"/>
  <c r="AU41" i="5"/>
  <c r="AT41" i="5"/>
  <c r="AS41" i="5"/>
  <c r="AR41" i="5"/>
  <c r="AQ41" i="5"/>
  <c r="AP41" i="5"/>
  <c r="AO41" i="5"/>
  <c r="AN41" i="5"/>
  <c r="AM41" i="5"/>
  <c r="AL41" i="5"/>
  <c r="AK41" i="5"/>
  <c r="AJ41" i="5"/>
  <c r="AI41" i="5"/>
  <c r="AH41" i="5"/>
  <c r="AG41" i="5"/>
  <c r="AF41" i="5"/>
  <c r="AE41" i="5"/>
  <c r="AD41" i="5"/>
  <c r="AC41" i="5"/>
  <c r="AB41" i="5"/>
  <c r="AA41" i="5"/>
  <c r="Z41" i="5"/>
  <c r="Y41" i="5"/>
  <c r="X41" i="5"/>
  <c r="W41" i="5"/>
  <c r="V41" i="5"/>
  <c r="U41" i="5"/>
  <c r="T41" i="5"/>
  <c r="S41" i="5"/>
  <c r="R41" i="5"/>
  <c r="Q41" i="5"/>
  <c r="P41" i="5"/>
  <c r="O41" i="5"/>
  <c r="I41" i="5" s="1"/>
  <c r="G41" i="5" s="1"/>
  <c r="N41" i="5"/>
  <c r="M41" i="5"/>
  <c r="L41" i="5"/>
  <c r="K41" i="5"/>
  <c r="J41" i="5"/>
  <c r="H41" i="5" s="1"/>
  <c r="F41" i="5" s="1"/>
  <c r="E41" i="5"/>
  <c r="D41" i="5"/>
  <c r="C41" i="5"/>
  <c r="B41" i="5"/>
  <c r="AY40" i="5"/>
  <c r="AX40" i="5"/>
  <c r="AW40" i="5"/>
  <c r="AV40" i="5"/>
  <c r="AU40" i="5"/>
  <c r="AT40" i="5"/>
  <c r="AS40" i="5"/>
  <c r="AR40" i="5"/>
  <c r="AQ40" i="5"/>
  <c r="AP40" i="5"/>
  <c r="AO40" i="5"/>
  <c r="AN40" i="5"/>
  <c r="AM40" i="5"/>
  <c r="AL40" i="5"/>
  <c r="AK40" i="5"/>
  <c r="AJ40" i="5"/>
  <c r="AI40" i="5"/>
  <c r="AH40" i="5"/>
  <c r="AG40" i="5"/>
  <c r="AF40" i="5"/>
  <c r="AE40" i="5"/>
  <c r="AD40" i="5"/>
  <c r="AC40" i="5"/>
  <c r="AB40" i="5"/>
  <c r="AA40" i="5"/>
  <c r="Z40" i="5"/>
  <c r="Y40" i="5"/>
  <c r="X40" i="5"/>
  <c r="W40" i="5"/>
  <c r="V40" i="5"/>
  <c r="U40" i="5"/>
  <c r="T40" i="5"/>
  <c r="S40" i="5"/>
  <c r="R40" i="5"/>
  <c r="Q40" i="5"/>
  <c r="P40" i="5"/>
  <c r="O40" i="5"/>
  <c r="N40" i="5"/>
  <c r="M40" i="5"/>
  <c r="L40" i="5"/>
  <c r="K40" i="5"/>
  <c r="J40" i="5"/>
  <c r="H40" i="5" s="1"/>
  <c r="F40" i="5" s="1"/>
  <c r="I40" i="5"/>
  <c r="G40" i="5" s="1"/>
  <c r="E40" i="5"/>
  <c r="D40" i="5"/>
  <c r="C40" i="5"/>
  <c r="B40" i="5"/>
  <c r="AY39" i="5"/>
  <c r="AX39" i="5"/>
  <c r="AW39" i="5"/>
  <c r="AV39" i="5"/>
  <c r="AU39" i="5"/>
  <c r="AT39" i="5"/>
  <c r="AS39" i="5"/>
  <c r="AR39" i="5"/>
  <c r="AQ39" i="5"/>
  <c r="AP39" i="5"/>
  <c r="AO39" i="5"/>
  <c r="AN39" i="5"/>
  <c r="AM39" i="5"/>
  <c r="AL39" i="5"/>
  <c r="AK39" i="5"/>
  <c r="AJ39" i="5"/>
  <c r="AI39" i="5"/>
  <c r="AH39" i="5"/>
  <c r="AG39" i="5"/>
  <c r="AF39" i="5"/>
  <c r="AE39" i="5"/>
  <c r="AD39" i="5"/>
  <c r="AC39" i="5"/>
  <c r="AB39" i="5"/>
  <c r="AA39" i="5"/>
  <c r="Z39" i="5"/>
  <c r="Y39" i="5"/>
  <c r="X39" i="5"/>
  <c r="W39" i="5"/>
  <c r="V39" i="5"/>
  <c r="U39" i="5"/>
  <c r="T39" i="5"/>
  <c r="S39" i="5"/>
  <c r="R39" i="5"/>
  <c r="Q39" i="5"/>
  <c r="P39" i="5"/>
  <c r="O39" i="5"/>
  <c r="N39" i="5"/>
  <c r="M39" i="5"/>
  <c r="L39" i="5"/>
  <c r="K39" i="5"/>
  <c r="I39" i="5" s="1"/>
  <c r="G39" i="5" s="1"/>
  <c r="J39" i="5"/>
  <c r="H39" i="5"/>
  <c r="F39" i="5" s="1"/>
  <c r="E39" i="5"/>
  <c r="D39" i="5"/>
  <c r="C39" i="5"/>
  <c r="B39" i="5"/>
  <c r="AY38" i="5"/>
  <c r="AX38" i="5"/>
  <c r="AW38" i="5"/>
  <c r="AV38" i="5"/>
  <c r="AU38" i="5"/>
  <c r="AT38" i="5"/>
  <c r="AS38" i="5"/>
  <c r="AR38" i="5"/>
  <c r="AQ38" i="5"/>
  <c r="AP38" i="5"/>
  <c r="AO38" i="5"/>
  <c r="AN38" i="5"/>
  <c r="AM38" i="5"/>
  <c r="AL38" i="5"/>
  <c r="AK38" i="5"/>
  <c r="AJ38" i="5"/>
  <c r="AI38" i="5"/>
  <c r="AH38" i="5"/>
  <c r="AG38" i="5"/>
  <c r="AF38" i="5"/>
  <c r="AE38" i="5"/>
  <c r="AD38" i="5"/>
  <c r="AC38" i="5"/>
  <c r="AB38" i="5"/>
  <c r="AA38" i="5"/>
  <c r="Z38" i="5"/>
  <c r="Y38" i="5"/>
  <c r="X38" i="5"/>
  <c r="W38" i="5"/>
  <c r="V38" i="5"/>
  <c r="U38" i="5"/>
  <c r="T38" i="5"/>
  <c r="S38" i="5"/>
  <c r="R38" i="5"/>
  <c r="Q38" i="5"/>
  <c r="P38" i="5"/>
  <c r="O38" i="5"/>
  <c r="N38" i="5"/>
  <c r="M38" i="5"/>
  <c r="I38" i="5" s="1"/>
  <c r="G38" i="5" s="1"/>
  <c r="L38" i="5"/>
  <c r="K38" i="5"/>
  <c r="J38" i="5"/>
  <c r="H38" i="5" s="1"/>
  <c r="F38" i="5" s="1"/>
  <c r="E38" i="5"/>
  <c r="D38" i="5"/>
  <c r="C38" i="5"/>
  <c r="B38" i="5"/>
  <c r="AY37" i="5"/>
  <c r="AX37" i="5"/>
  <c r="AW37" i="5"/>
  <c r="AV37" i="5"/>
  <c r="AU37" i="5"/>
  <c r="AT37" i="5"/>
  <c r="AS37" i="5"/>
  <c r="AR37" i="5"/>
  <c r="AQ37" i="5"/>
  <c r="AP37" i="5"/>
  <c r="AO37" i="5"/>
  <c r="AN37" i="5"/>
  <c r="AM37" i="5"/>
  <c r="AL37" i="5"/>
  <c r="AK37" i="5"/>
  <c r="AJ37" i="5"/>
  <c r="AI37" i="5"/>
  <c r="AH37" i="5"/>
  <c r="AG37" i="5"/>
  <c r="AF37" i="5"/>
  <c r="AE37" i="5"/>
  <c r="AD37" i="5"/>
  <c r="AC37" i="5"/>
  <c r="AB37" i="5"/>
  <c r="AA37" i="5"/>
  <c r="Z37" i="5"/>
  <c r="Y37" i="5"/>
  <c r="X37" i="5"/>
  <c r="W37" i="5"/>
  <c r="V37" i="5"/>
  <c r="U37" i="5"/>
  <c r="T37" i="5"/>
  <c r="S37" i="5"/>
  <c r="R37" i="5"/>
  <c r="Q37" i="5"/>
  <c r="P37" i="5"/>
  <c r="O37" i="5"/>
  <c r="I37" i="5" s="1"/>
  <c r="G37" i="5" s="1"/>
  <c r="N37" i="5"/>
  <c r="M37" i="5"/>
  <c r="L37" i="5"/>
  <c r="K37" i="5"/>
  <c r="J37" i="5"/>
  <c r="H37" i="5" s="1"/>
  <c r="F37" i="5" s="1"/>
  <c r="E37" i="5"/>
  <c r="D37" i="5"/>
  <c r="C37" i="5"/>
  <c r="B37" i="5"/>
  <c r="AY36" i="5"/>
  <c r="AX36" i="5"/>
  <c r="AW36" i="5"/>
  <c r="AV36" i="5"/>
  <c r="AU36" i="5"/>
  <c r="AT36" i="5"/>
  <c r="AS36" i="5"/>
  <c r="AR36" i="5"/>
  <c r="AQ36" i="5"/>
  <c r="AP36" i="5"/>
  <c r="AO36" i="5"/>
  <c r="AN36" i="5"/>
  <c r="AM36" i="5"/>
  <c r="AL36" i="5"/>
  <c r="AK36" i="5"/>
  <c r="AJ36" i="5"/>
  <c r="AI36" i="5"/>
  <c r="AH36" i="5"/>
  <c r="AG36" i="5"/>
  <c r="AF36" i="5"/>
  <c r="AE36" i="5"/>
  <c r="AD36" i="5"/>
  <c r="AC36" i="5"/>
  <c r="AB36" i="5"/>
  <c r="AA36" i="5"/>
  <c r="Z36" i="5"/>
  <c r="Y36" i="5"/>
  <c r="X36" i="5"/>
  <c r="W36" i="5"/>
  <c r="V36" i="5"/>
  <c r="U36" i="5"/>
  <c r="T36" i="5"/>
  <c r="S36" i="5"/>
  <c r="R36" i="5"/>
  <c r="Q36" i="5"/>
  <c r="P36" i="5"/>
  <c r="O36" i="5"/>
  <c r="N36" i="5"/>
  <c r="M36" i="5"/>
  <c r="L36" i="5"/>
  <c r="K36" i="5"/>
  <c r="J36" i="5"/>
  <c r="H36" i="5" s="1"/>
  <c r="F36" i="5" s="1"/>
  <c r="I36" i="5"/>
  <c r="G36" i="5" s="1"/>
  <c r="E36" i="5"/>
  <c r="D36" i="5"/>
  <c r="C36" i="5"/>
  <c r="B36" i="5"/>
  <c r="AY35" i="5"/>
  <c r="AX35" i="5"/>
  <c r="AW35" i="5"/>
  <c r="AV35" i="5"/>
  <c r="AU35" i="5"/>
  <c r="AT35" i="5"/>
  <c r="AS35" i="5"/>
  <c r="AR35" i="5"/>
  <c r="AQ35" i="5"/>
  <c r="AP35" i="5"/>
  <c r="AO35" i="5"/>
  <c r="AN35" i="5"/>
  <c r="AM35" i="5"/>
  <c r="AL35" i="5"/>
  <c r="AK35" i="5"/>
  <c r="AJ35" i="5"/>
  <c r="AI35" i="5"/>
  <c r="AH35" i="5"/>
  <c r="AG35" i="5"/>
  <c r="AF35" i="5"/>
  <c r="AE35" i="5"/>
  <c r="AD35" i="5"/>
  <c r="AC35" i="5"/>
  <c r="AB35" i="5"/>
  <c r="AA35" i="5"/>
  <c r="Z35" i="5"/>
  <c r="Y35" i="5"/>
  <c r="X35" i="5"/>
  <c r="W35" i="5"/>
  <c r="V35" i="5"/>
  <c r="U35" i="5"/>
  <c r="T35" i="5"/>
  <c r="S35" i="5"/>
  <c r="R35" i="5"/>
  <c r="Q35" i="5"/>
  <c r="P35" i="5"/>
  <c r="O35" i="5"/>
  <c r="N35" i="5"/>
  <c r="M35" i="5"/>
  <c r="L35" i="5"/>
  <c r="K35" i="5"/>
  <c r="I35" i="5" s="1"/>
  <c r="G35" i="5" s="1"/>
  <c r="J35" i="5"/>
  <c r="H35" i="5"/>
  <c r="F35" i="5" s="1"/>
  <c r="E35" i="5"/>
  <c r="D35" i="5"/>
  <c r="C35" i="5"/>
  <c r="B35" i="5"/>
  <c r="AY34" i="5"/>
  <c r="AX34" i="5"/>
  <c r="AW34" i="5"/>
  <c r="AV34" i="5"/>
  <c r="AU34" i="5"/>
  <c r="AT34" i="5"/>
  <c r="AS34" i="5"/>
  <c r="AS42" i="5" s="1"/>
  <c r="AR34" i="5"/>
  <c r="AQ34" i="5"/>
  <c r="AP34" i="5"/>
  <c r="AO34" i="5"/>
  <c r="AN34" i="5"/>
  <c r="AM34" i="5"/>
  <c r="AL34" i="5"/>
  <c r="AK34" i="5"/>
  <c r="AK42" i="5" s="1"/>
  <c r="AJ34" i="5"/>
  <c r="AI34" i="5"/>
  <c r="AH34" i="5"/>
  <c r="AG34" i="5"/>
  <c r="AF34" i="5"/>
  <c r="AE34" i="5"/>
  <c r="AD34" i="5"/>
  <c r="AC34" i="5"/>
  <c r="AC42" i="5" s="1"/>
  <c r="AB34" i="5"/>
  <c r="AA34" i="5"/>
  <c r="Z34" i="5"/>
  <c r="Y34" i="5"/>
  <c r="X34" i="5"/>
  <c r="W34" i="5"/>
  <c r="V34" i="5"/>
  <c r="U34" i="5"/>
  <c r="U42" i="5" s="1"/>
  <c r="T34" i="5"/>
  <c r="S34" i="5"/>
  <c r="R34" i="5"/>
  <c r="Q34" i="5"/>
  <c r="P34" i="5"/>
  <c r="O34" i="5"/>
  <c r="N34" i="5"/>
  <c r="M34" i="5"/>
  <c r="M42" i="5" s="1"/>
  <c r="L34" i="5"/>
  <c r="K34" i="5"/>
  <c r="I34" i="5" s="1"/>
  <c r="G34" i="5" s="1"/>
  <c r="J34" i="5"/>
  <c r="H34" i="5" s="1"/>
  <c r="F34" i="5" s="1"/>
  <c r="E34" i="5"/>
  <c r="E42" i="5" s="1"/>
  <c r="D34" i="5"/>
  <c r="C34" i="5"/>
  <c r="B34" i="5"/>
  <c r="AY33" i="5"/>
  <c r="AX33" i="5"/>
  <c r="AW33" i="5"/>
  <c r="AV33" i="5"/>
  <c r="AU33" i="5"/>
  <c r="AT33" i="5"/>
  <c r="AS33" i="5"/>
  <c r="AR33" i="5"/>
  <c r="AQ33" i="5"/>
  <c r="AP33" i="5"/>
  <c r="AO33" i="5"/>
  <c r="AN33" i="5"/>
  <c r="AM33" i="5"/>
  <c r="AL33" i="5"/>
  <c r="AK33" i="5"/>
  <c r="AJ33" i="5"/>
  <c r="AI33" i="5"/>
  <c r="AH33" i="5"/>
  <c r="AG33" i="5"/>
  <c r="AF33" i="5"/>
  <c r="AE33" i="5"/>
  <c r="AD33" i="5"/>
  <c r="AC33" i="5"/>
  <c r="AB33" i="5"/>
  <c r="AA33" i="5"/>
  <c r="Z33" i="5"/>
  <c r="Y33" i="5"/>
  <c r="X33" i="5"/>
  <c r="W33" i="5"/>
  <c r="V33" i="5"/>
  <c r="U33" i="5"/>
  <c r="T33" i="5"/>
  <c r="S33" i="5"/>
  <c r="R33" i="5"/>
  <c r="Q33" i="5"/>
  <c r="P33" i="5"/>
  <c r="O33" i="5"/>
  <c r="I33" i="5" s="1"/>
  <c r="G33" i="5" s="1"/>
  <c r="N33" i="5"/>
  <c r="M33" i="5"/>
  <c r="L33" i="5"/>
  <c r="K33" i="5"/>
  <c r="J33" i="5"/>
  <c r="H33" i="5" s="1"/>
  <c r="F33" i="5" s="1"/>
  <c r="E33" i="5"/>
  <c r="D33" i="5"/>
  <c r="C33" i="5"/>
  <c r="B33" i="5"/>
  <c r="AY32" i="5"/>
  <c r="AY42" i="5" s="1"/>
  <c r="AX32" i="5"/>
  <c r="AX42" i="5" s="1"/>
  <c r="AW32" i="5"/>
  <c r="AW42" i="5" s="1"/>
  <c r="AV32" i="5"/>
  <c r="AV42" i="5" s="1"/>
  <c r="AU32" i="5"/>
  <c r="AU42" i="5" s="1"/>
  <c r="AT32" i="5"/>
  <c r="AT42" i="5" s="1"/>
  <c r="AS32" i="5"/>
  <c r="AR32" i="5"/>
  <c r="AR42" i="5" s="1"/>
  <c r="AQ32" i="5"/>
  <c r="AQ42" i="5" s="1"/>
  <c r="AP32" i="5"/>
  <c r="AP42" i="5" s="1"/>
  <c r="AO32" i="5"/>
  <c r="AO42" i="5" s="1"/>
  <c r="AN32" i="5"/>
  <c r="AN42" i="5" s="1"/>
  <c r="AM32" i="5"/>
  <c r="AM42" i="5" s="1"/>
  <c r="AL32" i="5"/>
  <c r="AL42" i="5" s="1"/>
  <c r="AK32" i="5"/>
  <c r="AJ32" i="5"/>
  <c r="AJ42" i="5" s="1"/>
  <c r="AI32" i="5"/>
  <c r="AI42" i="5" s="1"/>
  <c r="AH32" i="5"/>
  <c r="AH42" i="5" s="1"/>
  <c r="AG32" i="5"/>
  <c r="AG42" i="5" s="1"/>
  <c r="AF32" i="5"/>
  <c r="AF42" i="5" s="1"/>
  <c r="AE32" i="5"/>
  <c r="AE42" i="5" s="1"/>
  <c r="AD32" i="5"/>
  <c r="AD42" i="5" s="1"/>
  <c r="AC32" i="5"/>
  <c r="AB32" i="5"/>
  <c r="AB42" i="5" s="1"/>
  <c r="AA32" i="5"/>
  <c r="AA42" i="5" s="1"/>
  <c r="Z32" i="5"/>
  <c r="Z42" i="5" s="1"/>
  <c r="Y32" i="5"/>
  <c r="Y42" i="5" s="1"/>
  <c r="X32" i="5"/>
  <c r="X42" i="5" s="1"/>
  <c r="W32" i="5"/>
  <c r="W42" i="5" s="1"/>
  <c r="V32" i="5"/>
  <c r="V42" i="5" s="1"/>
  <c r="U32" i="5"/>
  <c r="T32" i="5"/>
  <c r="T42" i="5" s="1"/>
  <c r="S32" i="5"/>
  <c r="S42" i="5" s="1"/>
  <c r="R32" i="5"/>
  <c r="R42" i="5" s="1"/>
  <c r="Q32" i="5"/>
  <c r="Q42" i="5" s="1"/>
  <c r="P32" i="5"/>
  <c r="P42" i="5" s="1"/>
  <c r="O32" i="5"/>
  <c r="O42" i="5" s="1"/>
  <c r="N32" i="5"/>
  <c r="N42" i="5" s="1"/>
  <c r="M32" i="5"/>
  <c r="L32" i="5"/>
  <c r="L42" i="5" s="1"/>
  <c r="K32" i="5"/>
  <c r="K42" i="5" s="1"/>
  <c r="J32" i="5"/>
  <c r="H32" i="5" s="1"/>
  <c r="I32" i="5"/>
  <c r="G32" i="5" s="1"/>
  <c r="E32" i="5"/>
  <c r="D32" i="5"/>
  <c r="D42" i="5" s="1"/>
  <c r="C32" i="5"/>
  <c r="C42" i="5" s="1"/>
  <c r="B32" i="5"/>
  <c r="B42" i="5" s="1"/>
  <c r="AY27" i="5"/>
  <c r="AX27" i="5"/>
  <c r="AW27" i="5"/>
  <c r="AV27" i="5"/>
  <c r="AU27" i="5"/>
  <c r="AT27" i="5"/>
  <c r="AS27" i="5"/>
  <c r="AR27" i="5"/>
  <c r="AQ27" i="5"/>
  <c r="AP27" i="5"/>
  <c r="AO27" i="5"/>
  <c r="AN27" i="5"/>
  <c r="AM27" i="5"/>
  <c r="AL27" i="5"/>
  <c r="AK27" i="5"/>
  <c r="AJ27" i="5"/>
  <c r="AI27" i="5"/>
  <c r="AH27" i="5"/>
  <c r="AG27" i="5"/>
  <c r="AF27" i="5"/>
  <c r="AE27" i="5"/>
  <c r="AD27" i="5"/>
  <c r="AC27" i="5"/>
  <c r="AB27" i="5"/>
  <c r="AA27" i="5"/>
  <c r="Z27" i="5"/>
  <c r="Y27" i="5"/>
  <c r="X27" i="5"/>
  <c r="W27" i="5"/>
  <c r="V27" i="5"/>
  <c r="U27" i="5"/>
  <c r="T27" i="5"/>
  <c r="S27" i="5"/>
  <c r="R27" i="5"/>
  <c r="Q27" i="5"/>
  <c r="P27" i="5"/>
  <c r="O27" i="5"/>
  <c r="N27" i="5"/>
  <c r="M27" i="5"/>
  <c r="L27" i="5"/>
  <c r="K27" i="5"/>
  <c r="I27" i="5" s="1"/>
  <c r="G27" i="5" s="1"/>
  <c r="J27" i="5"/>
  <c r="H27" i="5" s="1"/>
  <c r="F27" i="5" s="1"/>
  <c r="E27" i="5"/>
  <c r="D27" i="5"/>
  <c r="C27" i="5"/>
  <c r="B27" i="5"/>
  <c r="AY26" i="5"/>
  <c r="AX26" i="5"/>
  <c r="AW26" i="5"/>
  <c r="AV26" i="5"/>
  <c r="AU26" i="5"/>
  <c r="AT26" i="5"/>
  <c r="AS26" i="5"/>
  <c r="AR26" i="5"/>
  <c r="AQ26" i="5"/>
  <c r="AP26" i="5"/>
  <c r="AO26" i="5"/>
  <c r="AN26" i="5"/>
  <c r="AM26" i="5"/>
  <c r="AL26" i="5"/>
  <c r="AK26" i="5"/>
  <c r="AJ26" i="5"/>
  <c r="AI26" i="5"/>
  <c r="AH26" i="5"/>
  <c r="AG26" i="5"/>
  <c r="AF26" i="5"/>
  <c r="AE26" i="5"/>
  <c r="AD26" i="5"/>
  <c r="AC26" i="5"/>
  <c r="AB26" i="5"/>
  <c r="AA26" i="5"/>
  <c r="Z26" i="5"/>
  <c r="Y26" i="5"/>
  <c r="X26" i="5"/>
  <c r="W26" i="5"/>
  <c r="V26" i="5"/>
  <c r="U26" i="5"/>
  <c r="T26" i="5"/>
  <c r="S26" i="5"/>
  <c r="R26" i="5"/>
  <c r="Q26" i="5"/>
  <c r="P26" i="5"/>
  <c r="O26" i="5"/>
  <c r="I26" i="5" s="1"/>
  <c r="G26" i="5" s="1"/>
  <c r="N26" i="5"/>
  <c r="M26" i="5"/>
  <c r="L26" i="5"/>
  <c r="K26" i="5"/>
  <c r="J26" i="5"/>
  <c r="H26" i="5" s="1"/>
  <c r="F26" i="5" s="1"/>
  <c r="E26" i="5"/>
  <c r="D26" i="5"/>
  <c r="C26" i="5"/>
  <c r="B26" i="5"/>
  <c r="AY25" i="5"/>
  <c r="AX25" i="5"/>
  <c r="AW25" i="5"/>
  <c r="AV25" i="5"/>
  <c r="AU25" i="5"/>
  <c r="AT25" i="5"/>
  <c r="AS25" i="5"/>
  <c r="AR25" i="5"/>
  <c r="AQ25" i="5"/>
  <c r="AP25" i="5"/>
  <c r="AO25" i="5"/>
  <c r="AN25" i="5"/>
  <c r="AM25" i="5"/>
  <c r="AL25" i="5"/>
  <c r="AK25" i="5"/>
  <c r="AJ25" i="5"/>
  <c r="AI25" i="5"/>
  <c r="AH25" i="5"/>
  <c r="AG25" i="5"/>
  <c r="AF25" i="5"/>
  <c r="AE25" i="5"/>
  <c r="AD25" i="5"/>
  <c r="AC25" i="5"/>
  <c r="AB25" i="5"/>
  <c r="AA25" i="5"/>
  <c r="Z25" i="5"/>
  <c r="Y25" i="5"/>
  <c r="X25" i="5"/>
  <c r="W25" i="5"/>
  <c r="V25" i="5"/>
  <c r="U25" i="5"/>
  <c r="T25" i="5"/>
  <c r="S25" i="5"/>
  <c r="R25" i="5"/>
  <c r="Q25" i="5"/>
  <c r="I25" i="5" s="1"/>
  <c r="G25" i="5" s="1"/>
  <c r="P25" i="5"/>
  <c r="O25" i="5"/>
  <c r="N25" i="5"/>
  <c r="M25" i="5"/>
  <c r="L25" i="5"/>
  <c r="K25" i="5"/>
  <c r="J25" i="5"/>
  <c r="H25" i="5" s="1"/>
  <c r="F25" i="5" s="1"/>
  <c r="E25" i="5"/>
  <c r="D25" i="5"/>
  <c r="C25" i="5"/>
  <c r="B25" i="5"/>
  <c r="AY24" i="5"/>
  <c r="AX24" i="5"/>
  <c r="AW24" i="5"/>
  <c r="AV24" i="5"/>
  <c r="AU24" i="5"/>
  <c r="AT24" i="5"/>
  <c r="AS24" i="5"/>
  <c r="AR24" i="5"/>
  <c r="AQ24" i="5"/>
  <c r="AP24" i="5"/>
  <c r="AO24" i="5"/>
  <c r="AN24" i="5"/>
  <c r="AM24" i="5"/>
  <c r="AL24" i="5"/>
  <c r="AK24" i="5"/>
  <c r="AJ24" i="5"/>
  <c r="AI24" i="5"/>
  <c r="AH24" i="5"/>
  <c r="AG24" i="5"/>
  <c r="AF24" i="5"/>
  <c r="AE24" i="5"/>
  <c r="AD24" i="5"/>
  <c r="AC24" i="5"/>
  <c r="AB24" i="5"/>
  <c r="AA24" i="5"/>
  <c r="Z24" i="5"/>
  <c r="Y24" i="5"/>
  <c r="X24" i="5"/>
  <c r="W24" i="5"/>
  <c r="V24" i="5"/>
  <c r="U24" i="5"/>
  <c r="T24" i="5"/>
  <c r="S24" i="5"/>
  <c r="R24" i="5"/>
  <c r="Q24" i="5"/>
  <c r="P24" i="5"/>
  <c r="O24" i="5"/>
  <c r="N24" i="5"/>
  <c r="M24" i="5"/>
  <c r="L24" i="5"/>
  <c r="K24" i="5"/>
  <c r="I24" i="5" s="1"/>
  <c r="G24" i="5" s="1"/>
  <c r="J24" i="5"/>
  <c r="H24" i="5"/>
  <c r="F24" i="5" s="1"/>
  <c r="E24" i="5"/>
  <c r="D24" i="5"/>
  <c r="C24" i="5"/>
  <c r="B24" i="5"/>
  <c r="AY23" i="5"/>
  <c r="AX23" i="5"/>
  <c r="AW23" i="5"/>
  <c r="AV23" i="5"/>
  <c r="AU23" i="5"/>
  <c r="AT23" i="5"/>
  <c r="AS23" i="5"/>
  <c r="AR23" i="5"/>
  <c r="AQ23" i="5"/>
  <c r="AP23" i="5"/>
  <c r="AO23" i="5"/>
  <c r="AN23" i="5"/>
  <c r="AM23" i="5"/>
  <c r="AL23" i="5"/>
  <c r="AK23" i="5"/>
  <c r="AJ23" i="5"/>
  <c r="AI23" i="5"/>
  <c r="AH23" i="5"/>
  <c r="AG23" i="5"/>
  <c r="AF23" i="5"/>
  <c r="AE23" i="5"/>
  <c r="AD23" i="5"/>
  <c r="AC23" i="5"/>
  <c r="AB23" i="5"/>
  <c r="AA23" i="5"/>
  <c r="Z23" i="5"/>
  <c r="Y23" i="5"/>
  <c r="X23" i="5"/>
  <c r="W23" i="5"/>
  <c r="V23" i="5"/>
  <c r="U23" i="5"/>
  <c r="T23" i="5"/>
  <c r="S23" i="5"/>
  <c r="R23" i="5"/>
  <c r="Q23" i="5"/>
  <c r="P23" i="5"/>
  <c r="O23" i="5"/>
  <c r="N23" i="5"/>
  <c r="M23" i="5"/>
  <c r="L23" i="5"/>
  <c r="K23" i="5"/>
  <c r="I23" i="5" s="1"/>
  <c r="G23" i="5" s="1"/>
  <c r="J23" i="5"/>
  <c r="H23" i="5" s="1"/>
  <c r="F23" i="5" s="1"/>
  <c r="E23" i="5"/>
  <c r="D23" i="5"/>
  <c r="C23" i="5"/>
  <c r="B23" i="5"/>
  <c r="AY22" i="5"/>
  <c r="AX22" i="5"/>
  <c r="AW22" i="5"/>
  <c r="AV22" i="5"/>
  <c r="AU22" i="5"/>
  <c r="AT22" i="5"/>
  <c r="AS22" i="5"/>
  <c r="AR22" i="5"/>
  <c r="AQ22" i="5"/>
  <c r="AP22" i="5"/>
  <c r="AO22" i="5"/>
  <c r="AN22" i="5"/>
  <c r="AM22" i="5"/>
  <c r="AL22" i="5"/>
  <c r="AK22" i="5"/>
  <c r="AJ22" i="5"/>
  <c r="AI22" i="5"/>
  <c r="AH22" i="5"/>
  <c r="AG22" i="5"/>
  <c r="AF22" i="5"/>
  <c r="AE22" i="5"/>
  <c r="AD22" i="5"/>
  <c r="AC22" i="5"/>
  <c r="AB22" i="5"/>
  <c r="AA22" i="5"/>
  <c r="Z22" i="5"/>
  <c r="Y22" i="5"/>
  <c r="X22" i="5"/>
  <c r="W22" i="5"/>
  <c r="V22" i="5"/>
  <c r="U22" i="5"/>
  <c r="T22" i="5"/>
  <c r="S22" i="5"/>
  <c r="R22" i="5"/>
  <c r="Q22" i="5"/>
  <c r="P22" i="5"/>
  <c r="O22" i="5"/>
  <c r="I22" i="5" s="1"/>
  <c r="G22" i="5" s="1"/>
  <c r="N22" i="5"/>
  <c r="M22" i="5"/>
  <c r="L22" i="5"/>
  <c r="K22" i="5"/>
  <c r="J22" i="5"/>
  <c r="H22" i="5" s="1"/>
  <c r="F22" i="5" s="1"/>
  <c r="E22" i="5"/>
  <c r="D22" i="5"/>
  <c r="C22" i="5"/>
  <c r="B22" i="5"/>
  <c r="AY21" i="5"/>
  <c r="AX21" i="5"/>
  <c r="AW21" i="5"/>
  <c r="AV21" i="5"/>
  <c r="AU21" i="5"/>
  <c r="AT21" i="5"/>
  <c r="AS21" i="5"/>
  <c r="AR21" i="5"/>
  <c r="AQ21" i="5"/>
  <c r="AP21" i="5"/>
  <c r="AO21" i="5"/>
  <c r="AN21" i="5"/>
  <c r="AM21" i="5"/>
  <c r="AL21" i="5"/>
  <c r="AK21" i="5"/>
  <c r="AJ21" i="5"/>
  <c r="AI21" i="5"/>
  <c r="AH21" i="5"/>
  <c r="AG21" i="5"/>
  <c r="AF21" i="5"/>
  <c r="AE21" i="5"/>
  <c r="AD21" i="5"/>
  <c r="AC21" i="5"/>
  <c r="AB21" i="5"/>
  <c r="AA21" i="5"/>
  <c r="Z21" i="5"/>
  <c r="Y21" i="5"/>
  <c r="X21" i="5"/>
  <c r="W21" i="5"/>
  <c r="V21" i="5"/>
  <c r="U21" i="5"/>
  <c r="T21" i="5"/>
  <c r="S21" i="5"/>
  <c r="R21" i="5"/>
  <c r="Q21" i="5"/>
  <c r="I21" i="5" s="1"/>
  <c r="G21" i="5" s="1"/>
  <c r="P21" i="5"/>
  <c r="O21" i="5"/>
  <c r="N21" i="5"/>
  <c r="M21" i="5"/>
  <c r="L21" i="5"/>
  <c r="K21" i="5"/>
  <c r="J21" i="5"/>
  <c r="H21" i="5" s="1"/>
  <c r="F21" i="5" s="1"/>
  <c r="E21" i="5"/>
  <c r="D21" i="5"/>
  <c r="C21" i="5"/>
  <c r="B21" i="5"/>
  <c r="AY20" i="5"/>
  <c r="AY28" i="5" s="1"/>
  <c r="AX20" i="5"/>
  <c r="AW20" i="5"/>
  <c r="AV20" i="5"/>
  <c r="AU20" i="5"/>
  <c r="AT20" i="5"/>
  <c r="AS20" i="5"/>
  <c r="AR20" i="5"/>
  <c r="AQ20" i="5"/>
  <c r="AQ28" i="5" s="1"/>
  <c r="AP20" i="5"/>
  <c r="AO20" i="5"/>
  <c r="AN20" i="5"/>
  <c r="AM20" i="5"/>
  <c r="AL20" i="5"/>
  <c r="AK20" i="5"/>
  <c r="AJ20" i="5"/>
  <c r="AI20" i="5"/>
  <c r="AI28" i="5" s="1"/>
  <c r="AH20" i="5"/>
  <c r="AG20" i="5"/>
  <c r="AF20" i="5"/>
  <c r="AE20" i="5"/>
  <c r="AD20" i="5"/>
  <c r="AC20" i="5"/>
  <c r="AB20" i="5"/>
  <c r="AA20" i="5"/>
  <c r="AA28" i="5" s="1"/>
  <c r="Z20" i="5"/>
  <c r="Y20" i="5"/>
  <c r="X20" i="5"/>
  <c r="W20" i="5"/>
  <c r="V20" i="5"/>
  <c r="U20" i="5"/>
  <c r="T20" i="5"/>
  <c r="S20" i="5"/>
  <c r="S28" i="5" s="1"/>
  <c r="R20" i="5"/>
  <c r="Q20" i="5"/>
  <c r="P20" i="5"/>
  <c r="O20" i="5"/>
  <c r="N20" i="5"/>
  <c r="M20" i="5"/>
  <c r="L20" i="5"/>
  <c r="K20" i="5"/>
  <c r="K28" i="5" s="1"/>
  <c r="J20" i="5"/>
  <c r="H20" i="5"/>
  <c r="F20" i="5" s="1"/>
  <c r="E20" i="5"/>
  <c r="D20" i="5"/>
  <c r="C20" i="5"/>
  <c r="C28" i="5" s="1"/>
  <c r="B20" i="5"/>
  <c r="AY19" i="5"/>
  <c r="AX19" i="5"/>
  <c r="AW19" i="5"/>
  <c r="AV19" i="5"/>
  <c r="AU19" i="5"/>
  <c r="AT19" i="5"/>
  <c r="AS19" i="5"/>
  <c r="AR19" i="5"/>
  <c r="AQ19" i="5"/>
  <c r="AP19" i="5"/>
  <c r="AO19" i="5"/>
  <c r="AN19" i="5"/>
  <c r="AM19" i="5"/>
  <c r="AL19" i="5"/>
  <c r="AK19" i="5"/>
  <c r="AJ19" i="5"/>
  <c r="AI19" i="5"/>
  <c r="AH19" i="5"/>
  <c r="AG19" i="5"/>
  <c r="AF19" i="5"/>
  <c r="AE19" i="5"/>
  <c r="AD19" i="5"/>
  <c r="AC19" i="5"/>
  <c r="AB19" i="5"/>
  <c r="AA19" i="5"/>
  <c r="Z19" i="5"/>
  <c r="Y19" i="5"/>
  <c r="X19" i="5"/>
  <c r="W19" i="5"/>
  <c r="V19" i="5"/>
  <c r="U19" i="5"/>
  <c r="T19" i="5"/>
  <c r="S19" i="5"/>
  <c r="R19" i="5"/>
  <c r="Q19" i="5"/>
  <c r="P19" i="5"/>
  <c r="O19" i="5"/>
  <c r="N19" i="5"/>
  <c r="M19" i="5"/>
  <c r="L19" i="5"/>
  <c r="K19" i="5"/>
  <c r="I19" i="5" s="1"/>
  <c r="G19" i="5" s="1"/>
  <c r="J19" i="5"/>
  <c r="H19" i="5" s="1"/>
  <c r="F19" i="5" s="1"/>
  <c r="E19" i="5"/>
  <c r="D19" i="5"/>
  <c r="C19" i="5"/>
  <c r="B19" i="5"/>
  <c r="AY18" i="5"/>
  <c r="AX18" i="5"/>
  <c r="AX28" i="5" s="1"/>
  <c r="AW18" i="5"/>
  <c r="AW28" i="5" s="1"/>
  <c r="AV18" i="5"/>
  <c r="AV28" i="5" s="1"/>
  <c r="AU18" i="5"/>
  <c r="AU28" i="5" s="1"/>
  <c r="AT18" i="5"/>
  <c r="AT28" i="5" s="1"/>
  <c r="AS18" i="5"/>
  <c r="AS28" i="5" s="1"/>
  <c r="AR18" i="5"/>
  <c r="AR28" i="5" s="1"/>
  <c r="AQ18" i="5"/>
  <c r="AP18" i="5"/>
  <c r="AP28" i="5" s="1"/>
  <c r="AO18" i="5"/>
  <c r="AO28" i="5" s="1"/>
  <c r="AN18" i="5"/>
  <c r="AN28" i="5" s="1"/>
  <c r="AM18" i="5"/>
  <c r="AM28" i="5" s="1"/>
  <c r="AL18" i="5"/>
  <c r="AL28" i="5" s="1"/>
  <c r="AK18" i="5"/>
  <c r="AK28" i="5" s="1"/>
  <c r="AJ18" i="5"/>
  <c r="AJ28" i="5" s="1"/>
  <c r="AI18" i="5"/>
  <c r="AH18" i="5"/>
  <c r="AH28" i="5" s="1"/>
  <c r="AG18" i="5"/>
  <c r="AG28" i="5" s="1"/>
  <c r="AF18" i="5"/>
  <c r="AF28" i="5" s="1"/>
  <c r="AE18" i="5"/>
  <c r="AE28" i="5" s="1"/>
  <c r="AD18" i="5"/>
  <c r="AD28" i="5" s="1"/>
  <c r="AC18" i="5"/>
  <c r="AC28" i="5" s="1"/>
  <c r="AB18" i="5"/>
  <c r="AB28" i="5" s="1"/>
  <c r="AA18" i="5"/>
  <c r="Z18" i="5"/>
  <c r="Z28" i="5" s="1"/>
  <c r="Y18" i="5"/>
  <c r="Y28" i="5" s="1"/>
  <c r="X18" i="5"/>
  <c r="X28" i="5" s="1"/>
  <c r="W18" i="5"/>
  <c r="W28" i="5" s="1"/>
  <c r="V18" i="5"/>
  <c r="V28" i="5" s="1"/>
  <c r="U18" i="5"/>
  <c r="U28" i="5" s="1"/>
  <c r="T18" i="5"/>
  <c r="T28" i="5" s="1"/>
  <c r="S18" i="5"/>
  <c r="R18" i="5"/>
  <c r="R28" i="5" s="1"/>
  <c r="Q18" i="5"/>
  <c r="Q28" i="5" s="1"/>
  <c r="P18" i="5"/>
  <c r="P28" i="5" s="1"/>
  <c r="O18" i="5"/>
  <c r="I18" i="5" s="1"/>
  <c r="N18" i="5"/>
  <c r="N28" i="5" s="1"/>
  <c r="M18" i="5"/>
  <c r="M28" i="5" s="1"/>
  <c r="L18" i="5"/>
  <c r="L28" i="5" s="1"/>
  <c r="K18" i="5"/>
  <c r="J18" i="5"/>
  <c r="H18" i="5" s="1"/>
  <c r="E18" i="5"/>
  <c r="E28" i="5" s="1"/>
  <c r="D18" i="5"/>
  <c r="D28" i="5" s="1"/>
  <c r="C18" i="5"/>
  <c r="B18" i="5"/>
  <c r="B28" i="5" s="1"/>
  <c r="AY13" i="5"/>
  <c r="AX13" i="5"/>
  <c r="AW13" i="5"/>
  <c r="AV13" i="5"/>
  <c r="AU13" i="5"/>
  <c r="AT13" i="5"/>
  <c r="AS13" i="5"/>
  <c r="AR13" i="5"/>
  <c r="AQ13" i="5"/>
  <c r="AP13" i="5"/>
  <c r="AO13" i="5"/>
  <c r="AN13" i="5"/>
  <c r="AM13" i="5"/>
  <c r="AL13" i="5"/>
  <c r="AK13" i="5"/>
  <c r="AJ13" i="5"/>
  <c r="AI13" i="5"/>
  <c r="AH13" i="5"/>
  <c r="AG13" i="5"/>
  <c r="AF13" i="5"/>
  <c r="AE13" i="5"/>
  <c r="AD13" i="5"/>
  <c r="AC13" i="5"/>
  <c r="AB13" i="5"/>
  <c r="AA13" i="5"/>
  <c r="Z13" i="5"/>
  <c r="Y13" i="5"/>
  <c r="X13" i="5"/>
  <c r="W13" i="5"/>
  <c r="V13" i="5"/>
  <c r="U13" i="5"/>
  <c r="T13" i="5"/>
  <c r="S13" i="5"/>
  <c r="R13" i="5"/>
  <c r="Q13" i="5"/>
  <c r="P13" i="5"/>
  <c r="O13" i="5"/>
  <c r="N13" i="5"/>
  <c r="M13" i="5"/>
  <c r="L13" i="5"/>
  <c r="K13" i="5"/>
  <c r="I13" i="5" s="1"/>
  <c r="G13" i="5" s="1"/>
  <c r="J13" i="5"/>
  <c r="H13" i="5"/>
  <c r="F13" i="5" s="1"/>
  <c r="E13" i="5"/>
  <c r="D13" i="5"/>
  <c r="C13" i="5"/>
  <c r="B13" i="5"/>
  <c r="AY12" i="5"/>
  <c r="AX12" i="5"/>
  <c r="AW12" i="5"/>
  <c r="AV12" i="5"/>
  <c r="AU12" i="5"/>
  <c r="AT12" i="5"/>
  <c r="AS12" i="5"/>
  <c r="AR12" i="5"/>
  <c r="AQ12" i="5"/>
  <c r="AP12" i="5"/>
  <c r="AO12" i="5"/>
  <c r="AN12" i="5"/>
  <c r="AM12" i="5"/>
  <c r="AL12" i="5"/>
  <c r="AK12" i="5"/>
  <c r="AJ12" i="5"/>
  <c r="AI12" i="5"/>
  <c r="AH12" i="5"/>
  <c r="AG12" i="5"/>
  <c r="AF12" i="5"/>
  <c r="AE12" i="5"/>
  <c r="AD12" i="5"/>
  <c r="AC12" i="5"/>
  <c r="AB12" i="5"/>
  <c r="AA12" i="5"/>
  <c r="Z12" i="5"/>
  <c r="Y12" i="5"/>
  <c r="X12" i="5"/>
  <c r="W12" i="5"/>
  <c r="V12" i="5"/>
  <c r="U12" i="5"/>
  <c r="T12" i="5"/>
  <c r="S12" i="5"/>
  <c r="R12" i="5"/>
  <c r="Q12" i="5"/>
  <c r="P12" i="5"/>
  <c r="O12" i="5"/>
  <c r="N12" i="5"/>
  <c r="M12" i="5"/>
  <c r="L12" i="5"/>
  <c r="K12" i="5"/>
  <c r="I12" i="5" s="1"/>
  <c r="G12" i="5" s="1"/>
  <c r="J12" i="5"/>
  <c r="H12" i="5" s="1"/>
  <c r="F12" i="5" s="1"/>
  <c r="E12" i="5"/>
  <c r="D12" i="5"/>
  <c r="C12" i="5"/>
  <c r="B12" i="5"/>
  <c r="AY11" i="5"/>
  <c r="AX11" i="5"/>
  <c r="AW11" i="5"/>
  <c r="AV11" i="5"/>
  <c r="AU11" i="5"/>
  <c r="AT11" i="5"/>
  <c r="AS11" i="5"/>
  <c r="AR11" i="5"/>
  <c r="AQ11" i="5"/>
  <c r="AP11" i="5"/>
  <c r="AO11" i="5"/>
  <c r="AN11" i="5"/>
  <c r="AM11" i="5"/>
  <c r="AL11" i="5"/>
  <c r="AK11" i="5"/>
  <c r="AJ11" i="5"/>
  <c r="AI11" i="5"/>
  <c r="AH11" i="5"/>
  <c r="AG11" i="5"/>
  <c r="AF11" i="5"/>
  <c r="AE11" i="5"/>
  <c r="AD11" i="5"/>
  <c r="AC11" i="5"/>
  <c r="AB11" i="5"/>
  <c r="AA11" i="5"/>
  <c r="Z11" i="5"/>
  <c r="Y11" i="5"/>
  <c r="X11" i="5"/>
  <c r="W11" i="5"/>
  <c r="V11" i="5"/>
  <c r="U11" i="5"/>
  <c r="T11" i="5"/>
  <c r="S11" i="5"/>
  <c r="R11" i="5"/>
  <c r="Q11" i="5"/>
  <c r="P11" i="5"/>
  <c r="O11" i="5"/>
  <c r="I11" i="5" s="1"/>
  <c r="G11" i="5" s="1"/>
  <c r="N11" i="5"/>
  <c r="M11" i="5"/>
  <c r="L11" i="5"/>
  <c r="K11" i="5"/>
  <c r="J11" i="5"/>
  <c r="H11" i="5" s="1"/>
  <c r="F11" i="5" s="1"/>
  <c r="E11" i="5"/>
  <c r="D11" i="5"/>
  <c r="C11" i="5"/>
  <c r="B11" i="5"/>
  <c r="AY10" i="5"/>
  <c r="AX10" i="5"/>
  <c r="AW10" i="5"/>
  <c r="AV10" i="5"/>
  <c r="AU10" i="5"/>
  <c r="AT10" i="5"/>
  <c r="AS10" i="5"/>
  <c r="AR10" i="5"/>
  <c r="AQ10" i="5"/>
  <c r="AP10" i="5"/>
  <c r="AO10" i="5"/>
  <c r="AN10" i="5"/>
  <c r="AM10" i="5"/>
  <c r="AL10" i="5"/>
  <c r="AK10" i="5"/>
  <c r="AJ10" i="5"/>
  <c r="AI10" i="5"/>
  <c r="AH10" i="5"/>
  <c r="AG10" i="5"/>
  <c r="AF10" i="5"/>
  <c r="AE10" i="5"/>
  <c r="AD10" i="5"/>
  <c r="AC10" i="5"/>
  <c r="AB10" i="5"/>
  <c r="AA10" i="5"/>
  <c r="Z10" i="5"/>
  <c r="Y10" i="5"/>
  <c r="X10" i="5"/>
  <c r="W10" i="5"/>
  <c r="V10" i="5"/>
  <c r="U10" i="5"/>
  <c r="T10" i="5"/>
  <c r="S10" i="5"/>
  <c r="R10" i="5"/>
  <c r="Q10" i="5"/>
  <c r="I10" i="5" s="1"/>
  <c r="G10" i="5" s="1"/>
  <c r="P10" i="5"/>
  <c r="O10" i="5"/>
  <c r="N10" i="5"/>
  <c r="M10" i="5"/>
  <c r="L10" i="5"/>
  <c r="K10" i="5"/>
  <c r="J10" i="5"/>
  <c r="H10" i="5" s="1"/>
  <c r="F10" i="5" s="1"/>
  <c r="E10" i="5"/>
  <c r="D10" i="5"/>
  <c r="C10" i="5"/>
  <c r="B10" i="5"/>
  <c r="AY9" i="5"/>
  <c r="AX9" i="5"/>
  <c r="AW9" i="5"/>
  <c r="AV9" i="5"/>
  <c r="AU9" i="5"/>
  <c r="AT9" i="5"/>
  <c r="AS9" i="5"/>
  <c r="AR9" i="5"/>
  <c r="AQ9" i="5"/>
  <c r="AP9" i="5"/>
  <c r="AO9" i="5"/>
  <c r="AN9" i="5"/>
  <c r="AM9" i="5"/>
  <c r="AL9" i="5"/>
  <c r="AK9" i="5"/>
  <c r="AJ9" i="5"/>
  <c r="AI9" i="5"/>
  <c r="AH9" i="5"/>
  <c r="AG9" i="5"/>
  <c r="AF9" i="5"/>
  <c r="AE9" i="5"/>
  <c r="AD9" i="5"/>
  <c r="AC9" i="5"/>
  <c r="AB9" i="5"/>
  <c r="AA9" i="5"/>
  <c r="Z9" i="5"/>
  <c r="Y9" i="5"/>
  <c r="X9" i="5"/>
  <c r="W9" i="5"/>
  <c r="V9" i="5"/>
  <c r="U9" i="5"/>
  <c r="T9" i="5"/>
  <c r="S9" i="5"/>
  <c r="R9" i="5"/>
  <c r="Q9" i="5"/>
  <c r="P9" i="5"/>
  <c r="O9" i="5"/>
  <c r="N9" i="5"/>
  <c r="M9" i="5"/>
  <c r="L9" i="5"/>
  <c r="K9" i="5"/>
  <c r="I9" i="5" s="1"/>
  <c r="G9" i="5" s="1"/>
  <c r="J9" i="5"/>
  <c r="H9" i="5"/>
  <c r="F9" i="5" s="1"/>
  <c r="E9" i="5"/>
  <c r="D9" i="5"/>
  <c r="C9" i="5"/>
  <c r="B9" i="5"/>
  <c r="AY8" i="5"/>
  <c r="AX8" i="5"/>
  <c r="AW8" i="5"/>
  <c r="AV8" i="5"/>
  <c r="AU8" i="5"/>
  <c r="AT8" i="5"/>
  <c r="AS8" i="5"/>
  <c r="AR8" i="5"/>
  <c r="AQ8" i="5"/>
  <c r="AP8" i="5"/>
  <c r="AO8" i="5"/>
  <c r="AN8" i="5"/>
  <c r="AM8" i="5"/>
  <c r="AL8" i="5"/>
  <c r="AK8" i="5"/>
  <c r="AJ8" i="5"/>
  <c r="AI8" i="5"/>
  <c r="AH8" i="5"/>
  <c r="AG8" i="5"/>
  <c r="AF8" i="5"/>
  <c r="AE8" i="5"/>
  <c r="AD8" i="5"/>
  <c r="AC8" i="5"/>
  <c r="AB8" i="5"/>
  <c r="AA8" i="5"/>
  <c r="Z8" i="5"/>
  <c r="Y8" i="5"/>
  <c r="X8" i="5"/>
  <c r="W8" i="5"/>
  <c r="V8" i="5"/>
  <c r="U8" i="5"/>
  <c r="T8" i="5"/>
  <c r="S8" i="5"/>
  <c r="R8" i="5"/>
  <c r="Q8" i="5"/>
  <c r="P8" i="5"/>
  <c r="O8" i="5"/>
  <c r="N8" i="5"/>
  <c r="M8" i="5"/>
  <c r="L8" i="5"/>
  <c r="K8" i="5"/>
  <c r="I8" i="5" s="1"/>
  <c r="G8" i="5" s="1"/>
  <c r="J8" i="5"/>
  <c r="H8" i="5" s="1"/>
  <c r="F8" i="5" s="1"/>
  <c r="E8" i="5"/>
  <c r="D8" i="5"/>
  <c r="C8" i="5"/>
  <c r="B8" i="5"/>
  <c r="AY7" i="5"/>
  <c r="AX7" i="5"/>
  <c r="AW7" i="5"/>
  <c r="AV7" i="5"/>
  <c r="AU7" i="5"/>
  <c r="AT7" i="5"/>
  <c r="AS7" i="5"/>
  <c r="AR7" i="5"/>
  <c r="AQ7" i="5"/>
  <c r="AP7" i="5"/>
  <c r="AO7" i="5"/>
  <c r="AN7" i="5"/>
  <c r="AM7" i="5"/>
  <c r="AL7" i="5"/>
  <c r="AK7" i="5"/>
  <c r="AJ7" i="5"/>
  <c r="AI7" i="5"/>
  <c r="AH7" i="5"/>
  <c r="AG7" i="5"/>
  <c r="AF7" i="5"/>
  <c r="AE7" i="5"/>
  <c r="AD7" i="5"/>
  <c r="AC7" i="5"/>
  <c r="AB7" i="5"/>
  <c r="AA7" i="5"/>
  <c r="Z7" i="5"/>
  <c r="Y7" i="5"/>
  <c r="X7" i="5"/>
  <c r="W7" i="5"/>
  <c r="V7" i="5"/>
  <c r="U7" i="5"/>
  <c r="T7" i="5"/>
  <c r="S7" i="5"/>
  <c r="R7" i="5"/>
  <c r="Q7" i="5"/>
  <c r="P7" i="5"/>
  <c r="O7" i="5"/>
  <c r="I7" i="5" s="1"/>
  <c r="G7" i="5" s="1"/>
  <c r="N7" i="5"/>
  <c r="M7" i="5"/>
  <c r="L7" i="5"/>
  <c r="K7" i="5"/>
  <c r="J7" i="5"/>
  <c r="H7" i="5" s="1"/>
  <c r="F7" i="5" s="1"/>
  <c r="E7" i="5"/>
  <c r="D7" i="5"/>
  <c r="C7" i="5"/>
  <c r="B7" i="5"/>
  <c r="AY6" i="5"/>
  <c r="AX6" i="5"/>
  <c r="AW6" i="5"/>
  <c r="AW14" i="5" s="1"/>
  <c r="AV6" i="5"/>
  <c r="AU6" i="5"/>
  <c r="AT6" i="5"/>
  <c r="AS6" i="5"/>
  <c r="AR6" i="5"/>
  <c r="AQ6" i="5"/>
  <c r="AP6" i="5"/>
  <c r="AO6" i="5"/>
  <c r="AO14" i="5" s="1"/>
  <c r="AN6" i="5"/>
  <c r="AM6" i="5"/>
  <c r="AL6" i="5"/>
  <c r="AK6" i="5"/>
  <c r="AJ6" i="5"/>
  <c r="AI6" i="5"/>
  <c r="AH6" i="5"/>
  <c r="AG6" i="5"/>
  <c r="AG14" i="5" s="1"/>
  <c r="AF6" i="5"/>
  <c r="AE6" i="5"/>
  <c r="AD6" i="5"/>
  <c r="AC6" i="5"/>
  <c r="AB6" i="5"/>
  <c r="AA6" i="5"/>
  <c r="Z6" i="5"/>
  <c r="Y6" i="5"/>
  <c r="Y14" i="5" s="1"/>
  <c r="X6" i="5"/>
  <c r="W6" i="5"/>
  <c r="V6" i="5"/>
  <c r="U6" i="5"/>
  <c r="T6" i="5"/>
  <c r="S6" i="5"/>
  <c r="R6" i="5"/>
  <c r="Q6" i="5"/>
  <c r="Q14" i="5" s="1"/>
  <c r="P6" i="5"/>
  <c r="O6" i="5"/>
  <c r="N6" i="5"/>
  <c r="M6" i="5"/>
  <c r="L6" i="5"/>
  <c r="K6" i="5"/>
  <c r="J6" i="5"/>
  <c r="H6" i="5" s="1"/>
  <c r="F6" i="5" s="1"/>
  <c r="E6" i="5"/>
  <c r="D6" i="5"/>
  <c r="C6" i="5"/>
  <c r="B6" i="5"/>
  <c r="AY5" i="5"/>
  <c r="AX5" i="5"/>
  <c r="AW5" i="5"/>
  <c r="AV5" i="5"/>
  <c r="AU5" i="5"/>
  <c r="AT5" i="5"/>
  <c r="AS5" i="5"/>
  <c r="AR5" i="5"/>
  <c r="AQ5" i="5"/>
  <c r="AP5" i="5"/>
  <c r="AO5" i="5"/>
  <c r="AN5" i="5"/>
  <c r="AM5" i="5"/>
  <c r="AL5" i="5"/>
  <c r="AK5" i="5"/>
  <c r="AJ5" i="5"/>
  <c r="AI5" i="5"/>
  <c r="AH5" i="5"/>
  <c r="AG5" i="5"/>
  <c r="AF5" i="5"/>
  <c r="AE5" i="5"/>
  <c r="AD5" i="5"/>
  <c r="AC5" i="5"/>
  <c r="AB5" i="5"/>
  <c r="AA5" i="5"/>
  <c r="Z5" i="5"/>
  <c r="Y5" i="5"/>
  <c r="X5" i="5"/>
  <c r="W5" i="5"/>
  <c r="V5" i="5"/>
  <c r="U5" i="5"/>
  <c r="T5" i="5"/>
  <c r="S5" i="5"/>
  <c r="R5" i="5"/>
  <c r="Q5" i="5"/>
  <c r="P5" i="5"/>
  <c r="O5" i="5"/>
  <c r="N5" i="5"/>
  <c r="M5" i="5"/>
  <c r="L5" i="5"/>
  <c r="K5" i="5"/>
  <c r="I5" i="5" s="1"/>
  <c r="G5" i="5" s="1"/>
  <c r="J5" i="5"/>
  <c r="H5" i="5"/>
  <c r="F5" i="5" s="1"/>
  <c r="E5" i="5"/>
  <c r="D5" i="5"/>
  <c r="C5" i="5"/>
  <c r="B5" i="5"/>
  <c r="AY4" i="5"/>
  <c r="AY14" i="5" s="1"/>
  <c r="AX4" i="5"/>
  <c r="AX14" i="5" s="1"/>
  <c r="AW4" i="5"/>
  <c r="AV4" i="5"/>
  <c r="AV14" i="5" s="1"/>
  <c r="AU4" i="5"/>
  <c r="AU14" i="5" s="1"/>
  <c r="AT4" i="5"/>
  <c r="AT14" i="5" s="1"/>
  <c r="AS4" i="5"/>
  <c r="AS14" i="5" s="1"/>
  <c r="AR4" i="5"/>
  <c r="AR14" i="5" s="1"/>
  <c r="AQ4" i="5"/>
  <c r="AQ14" i="5" s="1"/>
  <c r="AP4" i="5"/>
  <c r="AP14" i="5" s="1"/>
  <c r="AO4" i="5"/>
  <c r="AN4" i="5"/>
  <c r="AN14" i="5" s="1"/>
  <c r="AM4" i="5"/>
  <c r="AM14" i="5" s="1"/>
  <c r="AL4" i="5"/>
  <c r="AL14" i="5" s="1"/>
  <c r="AK4" i="5"/>
  <c r="AK14" i="5" s="1"/>
  <c r="AJ4" i="5"/>
  <c r="AJ14" i="5" s="1"/>
  <c r="AI4" i="5"/>
  <c r="AI14" i="5" s="1"/>
  <c r="AH4" i="5"/>
  <c r="AH14" i="5" s="1"/>
  <c r="AG4" i="5"/>
  <c r="AF4" i="5"/>
  <c r="AF14" i="5" s="1"/>
  <c r="AE4" i="5"/>
  <c r="AE14" i="5" s="1"/>
  <c r="AD4" i="5"/>
  <c r="AD14" i="5" s="1"/>
  <c r="AC4" i="5"/>
  <c r="AC14" i="5" s="1"/>
  <c r="AB4" i="5"/>
  <c r="AB14" i="5" s="1"/>
  <c r="AA4" i="5"/>
  <c r="AA14" i="5" s="1"/>
  <c r="Z4" i="5"/>
  <c r="Z14" i="5" s="1"/>
  <c r="Y4" i="5"/>
  <c r="X4" i="5"/>
  <c r="X14" i="5" s="1"/>
  <c r="W4" i="5"/>
  <c r="W14" i="5" s="1"/>
  <c r="V4" i="5"/>
  <c r="V14" i="5" s="1"/>
  <c r="U4" i="5"/>
  <c r="U14" i="5" s="1"/>
  <c r="T4" i="5"/>
  <c r="T14" i="5" s="1"/>
  <c r="S4" i="5"/>
  <c r="S14" i="5" s="1"/>
  <c r="R4" i="5"/>
  <c r="R14" i="5" s="1"/>
  <c r="Q4" i="5"/>
  <c r="P4" i="5"/>
  <c r="P14" i="5" s="1"/>
  <c r="O4" i="5"/>
  <c r="O14" i="5" s="1"/>
  <c r="N4" i="5"/>
  <c r="N14" i="5" s="1"/>
  <c r="M4" i="5"/>
  <c r="M14" i="5" s="1"/>
  <c r="L4" i="5"/>
  <c r="L14" i="5" s="1"/>
  <c r="K4" i="5"/>
  <c r="K14" i="5" s="1"/>
  <c r="J4" i="5"/>
  <c r="H4" i="5" s="1"/>
  <c r="E4" i="5"/>
  <c r="E14" i="5" s="1"/>
  <c r="D4" i="5"/>
  <c r="D14" i="5" s="1"/>
  <c r="C4" i="5"/>
  <c r="C14" i="5" s="1"/>
  <c r="B4" i="5"/>
  <c r="B14" i="5" s="1"/>
  <c r="I184" i="4"/>
  <c r="I183" i="4"/>
  <c r="I182" i="4"/>
  <c r="I181" i="4"/>
  <c r="I180" i="4"/>
  <c r="I179" i="4"/>
  <c r="I178" i="4"/>
  <c r="I177" i="4"/>
  <c r="I176" i="4"/>
  <c r="I175" i="4"/>
  <c r="I174" i="4"/>
  <c r="I173" i="4"/>
  <c r="I172" i="4"/>
  <c r="I171" i="4"/>
  <c r="I170" i="4"/>
  <c r="I169" i="4"/>
  <c r="I168" i="4"/>
  <c r="I167" i="4"/>
  <c r="I166" i="4"/>
  <c r="I165" i="4"/>
  <c r="I164" i="4"/>
  <c r="I163" i="4"/>
  <c r="I162" i="4"/>
  <c r="I161" i="4"/>
  <c r="I158" i="4"/>
  <c r="I156" i="4"/>
  <c r="I155" i="4"/>
  <c r="I154" i="4"/>
  <c r="I153" i="4"/>
  <c r="I152" i="4"/>
  <c r="I151" i="4"/>
  <c r="I150" i="4"/>
  <c r="I149" i="4"/>
  <c r="I147" i="4"/>
  <c r="I146" i="4"/>
  <c r="I145" i="4"/>
  <c r="I144" i="4"/>
  <c r="I143" i="4"/>
  <c r="I142" i="4"/>
  <c r="I141" i="4"/>
  <c r="I140" i="4"/>
  <c r="I139" i="4"/>
  <c r="I138" i="4"/>
  <c r="I137" i="4"/>
  <c r="I136" i="4"/>
  <c r="I135" i="4"/>
  <c r="I134" i="4"/>
  <c r="I133" i="4"/>
  <c r="I132" i="4"/>
  <c r="I131" i="4"/>
  <c r="I130" i="4"/>
  <c r="I129" i="4"/>
  <c r="I128" i="4"/>
  <c r="I127" i="4"/>
  <c r="I126" i="4"/>
  <c r="I125" i="4"/>
  <c r="I124" i="4"/>
  <c r="I123" i="4"/>
  <c r="I121" i="4"/>
  <c r="I120" i="4"/>
  <c r="I119" i="4"/>
  <c r="I118" i="4"/>
  <c r="I117" i="4"/>
  <c r="I116" i="4"/>
  <c r="I115" i="4"/>
  <c r="I114" i="4"/>
  <c r="I113" i="4"/>
  <c r="I112" i="4"/>
  <c r="I111" i="4"/>
  <c r="I110" i="4"/>
  <c r="I109" i="4"/>
  <c r="I108" i="4"/>
  <c r="I107" i="4"/>
  <c r="I106" i="4"/>
  <c r="I105" i="4"/>
  <c r="I104" i="4"/>
  <c r="I103" i="4"/>
  <c r="I102" i="4"/>
  <c r="I100" i="4"/>
  <c r="I99" i="4"/>
  <c r="I98" i="4"/>
  <c r="I97" i="4"/>
  <c r="I96" i="4"/>
  <c r="I95" i="4"/>
  <c r="I94" i="4"/>
  <c r="I93" i="4"/>
  <c r="I92" i="4"/>
  <c r="I91" i="4"/>
  <c r="I90" i="4"/>
  <c r="I89" i="4"/>
  <c r="I88" i="4"/>
  <c r="I87" i="4"/>
  <c r="I86" i="4"/>
  <c r="I85" i="4"/>
  <c r="I84" i="4"/>
  <c r="D27" i="6" s="1"/>
  <c r="E27" i="6" s="1"/>
  <c r="F27" i="6" s="1"/>
  <c r="I83" i="4"/>
  <c r="I82" i="4"/>
  <c r="I81" i="4"/>
  <c r="I80" i="4"/>
  <c r="I79" i="4"/>
  <c r="I78" i="4"/>
  <c r="I77" i="4"/>
  <c r="I76" i="4"/>
  <c r="I75" i="4"/>
  <c r="I74" i="4"/>
  <c r="I73" i="4"/>
  <c r="I72" i="4"/>
  <c r="I71" i="4"/>
  <c r="I70" i="4"/>
  <c r="I69" i="4"/>
  <c r="I68" i="4"/>
  <c r="I67" i="4"/>
  <c r="I66" i="4"/>
  <c r="I65" i="4"/>
  <c r="I64" i="4"/>
  <c r="I63" i="4"/>
  <c r="I62" i="4"/>
  <c r="I61" i="4"/>
  <c r="I60" i="4"/>
  <c r="I59" i="4"/>
  <c r="I58" i="4"/>
  <c r="I57" i="4"/>
  <c r="I56" i="4"/>
  <c r="I55" i="4"/>
  <c r="I54" i="4"/>
  <c r="I53" i="4"/>
  <c r="I52" i="4"/>
  <c r="I51" i="4"/>
  <c r="I50" i="4"/>
  <c r="I49" i="4"/>
  <c r="I48" i="4"/>
  <c r="I47" i="4"/>
  <c r="I46" i="4"/>
  <c r="I45" i="4"/>
  <c r="I44" i="4"/>
  <c r="I43" i="4"/>
  <c r="I42" i="4"/>
  <c r="D3" i="6" s="1"/>
  <c r="E3" i="6" s="1"/>
  <c r="F3" i="6" s="1"/>
  <c r="B998" i="3"/>
  <c r="B997" i="3"/>
  <c r="B996" i="3"/>
  <c r="B995" i="3"/>
  <c r="B994" i="3"/>
  <c r="B993" i="3"/>
  <c r="B992" i="3"/>
  <c r="B991" i="3"/>
  <c r="B990" i="3"/>
  <c r="B989" i="3"/>
  <c r="B988" i="3"/>
  <c r="B987" i="3"/>
  <c r="B986" i="3"/>
  <c r="B985" i="3"/>
  <c r="B984" i="3"/>
  <c r="B983" i="3"/>
  <c r="B982" i="3"/>
  <c r="B981" i="3"/>
  <c r="B980" i="3"/>
  <c r="B979" i="3"/>
  <c r="B978" i="3"/>
  <c r="B977" i="3"/>
  <c r="B976" i="3"/>
  <c r="B975" i="3"/>
  <c r="B974" i="3"/>
  <c r="B973" i="3"/>
  <c r="B972" i="3"/>
  <c r="B971" i="3"/>
  <c r="B970" i="3"/>
  <c r="B969" i="3"/>
  <c r="B968" i="3"/>
  <c r="B967" i="3"/>
  <c r="B966" i="3"/>
  <c r="B965" i="3"/>
  <c r="B964" i="3"/>
  <c r="B963" i="3"/>
  <c r="B962" i="3"/>
  <c r="B961" i="3"/>
  <c r="B960" i="3"/>
  <c r="B959" i="3"/>
  <c r="B958" i="3"/>
  <c r="B957" i="3"/>
  <c r="B956" i="3"/>
  <c r="B955" i="3"/>
  <c r="B954" i="3"/>
  <c r="B953" i="3"/>
  <c r="B952" i="3"/>
  <c r="B951" i="3"/>
  <c r="B950" i="3"/>
  <c r="B949" i="3"/>
  <c r="B948" i="3"/>
  <c r="B947" i="3"/>
  <c r="B946" i="3"/>
  <c r="B945" i="3"/>
  <c r="B944" i="3"/>
  <c r="B943" i="3"/>
  <c r="B942" i="3"/>
  <c r="B941" i="3"/>
  <c r="B940" i="3"/>
  <c r="B939" i="3"/>
  <c r="B938" i="3"/>
  <c r="B937" i="3"/>
  <c r="B936" i="3"/>
  <c r="B935" i="3"/>
  <c r="B934" i="3"/>
  <c r="B933" i="3"/>
  <c r="B932" i="3"/>
  <c r="B931" i="3"/>
  <c r="B930" i="3"/>
  <c r="B929" i="3"/>
  <c r="B928" i="3"/>
  <c r="B927" i="3"/>
  <c r="B926" i="3"/>
  <c r="B925" i="3"/>
  <c r="B924" i="3"/>
  <c r="B923" i="3"/>
  <c r="B922" i="3"/>
  <c r="B921" i="3"/>
  <c r="B920" i="3"/>
  <c r="B919" i="3"/>
  <c r="B918" i="3"/>
  <c r="B917" i="3"/>
  <c r="B916" i="3"/>
  <c r="B915" i="3"/>
  <c r="B914" i="3"/>
  <c r="B913" i="3"/>
  <c r="B912" i="3"/>
  <c r="B911" i="3"/>
  <c r="B910" i="3"/>
  <c r="B909" i="3"/>
  <c r="B908" i="3"/>
  <c r="B907" i="3"/>
  <c r="B906" i="3"/>
  <c r="B905" i="3"/>
  <c r="B904" i="3"/>
  <c r="B903" i="3"/>
  <c r="B902" i="3"/>
  <c r="B901" i="3"/>
  <c r="B900" i="3"/>
  <c r="B899" i="3"/>
  <c r="B898" i="3"/>
  <c r="B897" i="3"/>
  <c r="B896" i="3"/>
  <c r="B895" i="3"/>
  <c r="B894" i="3"/>
  <c r="B893" i="3"/>
  <c r="B892" i="3"/>
  <c r="B891" i="3"/>
  <c r="B890" i="3"/>
  <c r="B889" i="3"/>
  <c r="B888" i="3"/>
  <c r="B887" i="3"/>
  <c r="B886" i="3"/>
  <c r="B885" i="3"/>
  <c r="B884" i="3"/>
  <c r="B883" i="3"/>
  <c r="B882" i="3"/>
  <c r="B881" i="3"/>
  <c r="B880" i="3"/>
  <c r="B879" i="3"/>
  <c r="B878" i="3"/>
  <c r="B877" i="3"/>
  <c r="B876" i="3"/>
  <c r="B875" i="3"/>
  <c r="B874" i="3"/>
  <c r="B873" i="3"/>
  <c r="B872" i="3"/>
  <c r="B871" i="3"/>
  <c r="B870" i="3"/>
  <c r="B869" i="3"/>
  <c r="B868" i="3"/>
  <c r="B867" i="3"/>
  <c r="B866" i="3"/>
  <c r="B865" i="3"/>
  <c r="B864" i="3"/>
  <c r="B863" i="3"/>
  <c r="B862" i="3"/>
  <c r="B861" i="3"/>
  <c r="B860" i="3"/>
  <c r="B859" i="3"/>
  <c r="B858" i="3"/>
  <c r="B857" i="3"/>
  <c r="B856" i="3"/>
  <c r="B855" i="3"/>
  <c r="B854" i="3"/>
  <c r="B853" i="3"/>
  <c r="B852" i="3"/>
  <c r="B851" i="3"/>
  <c r="B850" i="3"/>
  <c r="B849" i="3"/>
  <c r="B848" i="3"/>
  <c r="B847" i="3"/>
  <c r="B846" i="3"/>
  <c r="B845" i="3"/>
  <c r="B844" i="3"/>
  <c r="B843" i="3"/>
  <c r="B842" i="3"/>
  <c r="B841" i="3"/>
  <c r="B840" i="3"/>
  <c r="B839" i="3"/>
  <c r="B838" i="3"/>
  <c r="B837" i="3"/>
  <c r="B836" i="3"/>
  <c r="B835" i="3"/>
  <c r="B834" i="3"/>
  <c r="B833" i="3"/>
  <c r="B832" i="3"/>
  <c r="B831" i="3"/>
  <c r="B830" i="3"/>
  <c r="B829" i="3"/>
  <c r="B828" i="3"/>
  <c r="B827" i="3"/>
  <c r="B826" i="3"/>
  <c r="B825" i="3"/>
  <c r="B824" i="3"/>
  <c r="B823" i="3"/>
  <c r="B822" i="3"/>
  <c r="B821" i="3"/>
  <c r="B820" i="3"/>
  <c r="B819" i="3"/>
  <c r="B818" i="3"/>
  <c r="B817" i="3"/>
  <c r="B816" i="3"/>
  <c r="B815" i="3"/>
  <c r="B814" i="3"/>
  <c r="B813" i="3"/>
  <c r="B812" i="3"/>
  <c r="B811" i="3"/>
  <c r="B810" i="3"/>
  <c r="B809" i="3"/>
  <c r="B808" i="3"/>
  <c r="B807" i="3"/>
  <c r="B806" i="3"/>
  <c r="B805" i="3"/>
  <c r="B804" i="3"/>
  <c r="B803" i="3"/>
  <c r="B802" i="3"/>
  <c r="B801" i="3"/>
  <c r="B800" i="3"/>
  <c r="B799" i="3"/>
  <c r="B798" i="3"/>
  <c r="B797" i="3"/>
  <c r="B796" i="3"/>
  <c r="B795" i="3"/>
  <c r="B794" i="3"/>
  <c r="B793" i="3"/>
  <c r="B792" i="3"/>
  <c r="B791" i="3"/>
  <c r="B790" i="3"/>
  <c r="B789" i="3"/>
  <c r="B788" i="3"/>
  <c r="B787" i="3"/>
  <c r="B786" i="3"/>
  <c r="B785" i="3"/>
  <c r="B784" i="3"/>
  <c r="B783" i="3"/>
  <c r="B782" i="3"/>
  <c r="B781" i="3"/>
  <c r="B780" i="3"/>
  <c r="B779" i="3"/>
  <c r="B778" i="3"/>
  <c r="B777" i="3"/>
  <c r="B776" i="3"/>
  <c r="B775" i="3"/>
  <c r="B774" i="3"/>
  <c r="B773" i="3"/>
  <c r="B772" i="3"/>
  <c r="B771" i="3"/>
  <c r="B770" i="3"/>
  <c r="B769" i="3"/>
  <c r="B768" i="3"/>
  <c r="B767" i="3"/>
  <c r="B766" i="3"/>
  <c r="B765" i="3"/>
  <c r="B764" i="3"/>
  <c r="B763" i="3"/>
  <c r="B762" i="3"/>
  <c r="B761" i="3"/>
  <c r="B760" i="3"/>
  <c r="B759" i="3"/>
  <c r="B758" i="3"/>
  <c r="B757" i="3"/>
  <c r="B756" i="3"/>
  <c r="B755" i="3"/>
  <c r="B754" i="3"/>
  <c r="B753" i="3"/>
  <c r="B752" i="3"/>
  <c r="B751" i="3"/>
  <c r="B750" i="3"/>
  <c r="B749" i="3"/>
  <c r="B748" i="3"/>
  <c r="B747" i="3"/>
  <c r="B746" i="3"/>
  <c r="B745" i="3"/>
  <c r="B744" i="3"/>
  <c r="B743" i="3"/>
  <c r="B742" i="3"/>
  <c r="B741" i="3"/>
  <c r="B740" i="3"/>
  <c r="B739" i="3"/>
  <c r="B738" i="3"/>
  <c r="B737" i="3"/>
  <c r="B736" i="3"/>
  <c r="B735" i="3"/>
  <c r="B734" i="3"/>
  <c r="B733" i="3"/>
  <c r="B732" i="3"/>
  <c r="B731" i="3"/>
  <c r="B730" i="3"/>
  <c r="B729" i="3"/>
  <c r="B728" i="3"/>
  <c r="B727" i="3"/>
  <c r="B726" i="3"/>
  <c r="B725" i="3"/>
  <c r="B724" i="3"/>
  <c r="B723" i="3"/>
  <c r="B722" i="3"/>
  <c r="B721" i="3"/>
  <c r="B720" i="3"/>
  <c r="B719" i="3"/>
  <c r="B718" i="3"/>
  <c r="B717" i="3"/>
  <c r="B716" i="3"/>
  <c r="B715" i="3"/>
  <c r="B714" i="3"/>
  <c r="B713" i="3"/>
  <c r="B712" i="3"/>
  <c r="B711" i="3"/>
  <c r="B710" i="3"/>
  <c r="B709" i="3"/>
  <c r="B708" i="3"/>
  <c r="B707" i="3"/>
  <c r="B706" i="3"/>
  <c r="B705" i="3"/>
  <c r="B704" i="3"/>
  <c r="B703" i="3"/>
  <c r="B702" i="3"/>
  <c r="B701" i="3"/>
  <c r="B700" i="3"/>
  <c r="B699" i="3"/>
  <c r="B698" i="3"/>
  <c r="B697" i="3"/>
  <c r="B696" i="3"/>
  <c r="B695" i="3"/>
  <c r="B694" i="3"/>
  <c r="B693" i="3"/>
  <c r="B692" i="3"/>
  <c r="B691" i="3"/>
  <c r="B690" i="3"/>
  <c r="B689" i="3"/>
  <c r="B688" i="3"/>
  <c r="B687" i="3"/>
  <c r="B686" i="3"/>
  <c r="B685" i="3"/>
  <c r="B684" i="3"/>
  <c r="B683" i="3"/>
  <c r="B682" i="3"/>
  <c r="B681" i="3"/>
  <c r="B680" i="3"/>
  <c r="B679" i="3"/>
  <c r="B678" i="3"/>
  <c r="B677" i="3"/>
  <c r="B676" i="3"/>
  <c r="B675" i="3"/>
  <c r="B674" i="3"/>
  <c r="B673" i="3"/>
  <c r="B672" i="3"/>
  <c r="B671" i="3"/>
  <c r="B670" i="3"/>
  <c r="B669" i="3"/>
  <c r="B668" i="3"/>
  <c r="B667" i="3"/>
  <c r="B666" i="3"/>
  <c r="B665" i="3"/>
  <c r="B664" i="3"/>
  <c r="B663" i="3"/>
  <c r="B662" i="3"/>
  <c r="B661" i="3"/>
  <c r="B660" i="3"/>
  <c r="B659" i="3"/>
  <c r="B658" i="3"/>
  <c r="B657" i="3"/>
  <c r="B656" i="3"/>
  <c r="B655" i="3"/>
  <c r="B654" i="3"/>
  <c r="B653" i="3"/>
  <c r="B652" i="3"/>
  <c r="B651" i="3"/>
  <c r="B650" i="3"/>
  <c r="B649" i="3"/>
  <c r="B648" i="3"/>
  <c r="B647" i="3"/>
  <c r="B646" i="3"/>
  <c r="B645" i="3"/>
  <c r="B644" i="3"/>
  <c r="B643" i="3"/>
  <c r="B642" i="3"/>
  <c r="B641" i="3"/>
  <c r="B640" i="3"/>
  <c r="B639" i="3"/>
  <c r="B638" i="3"/>
  <c r="B637" i="3"/>
  <c r="B636" i="3"/>
  <c r="B635" i="3"/>
  <c r="B634" i="3"/>
  <c r="B633" i="3"/>
  <c r="B632" i="3"/>
  <c r="B631" i="3"/>
  <c r="B630" i="3"/>
  <c r="B629" i="3"/>
  <c r="B628" i="3"/>
  <c r="B627" i="3"/>
  <c r="B626" i="3"/>
  <c r="B625" i="3"/>
  <c r="B624" i="3"/>
  <c r="B623" i="3"/>
  <c r="B622" i="3"/>
  <c r="B621" i="3"/>
  <c r="B620" i="3"/>
  <c r="B619" i="3"/>
  <c r="B618" i="3"/>
  <c r="B617" i="3"/>
  <c r="B616" i="3"/>
  <c r="B615" i="3"/>
  <c r="B614" i="3"/>
  <c r="B613" i="3"/>
  <c r="B612" i="3"/>
  <c r="B611" i="3"/>
  <c r="B610" i="3"/>
  <c r="B609" i="3"/>
  <c r="B608" i="3"/>
  <c r="B607" i="3"/>
  <c r="B606" i="3"/>
  <c r="B605" i="3"/>
  <c r="B604" i="3"/>
  <c r="B603" i="3"/>
  <c r="B602" i="3"/>
  <c r="B601" i="3"/>
  <c r="B600" i="3"/>
  <c r="B599" i="3"/>
  <c r="B598" i="3"/>
  <c r="B597" i="3"/>
  <c r="B596" i="3"/>
  <c r="B595" i="3"/>
  <c r="B594" i="3"/>
  <c r="B593" i="3"/>
  <c r="B592" i="3"/>
  <c r="B591" i="3"/>
  <c r="B590" i="3"/>
  <c r="B589" i="3"/>
  <c r="B588" i="3"/>
  <c r="B587" i="3"/>
  <c r="B586" i="3"/>
  <c r="B585" i="3"/>
  <c r="B584" i="3"/>
  <c r="B583" i="3"/>
  <c r="B582" i="3"/>
  <c r="B581" i="3"/>
  <c r="B580" i="3"/>
  <c r="B579" i="3"/>
  <c r="B578" i="3"/>
  <c r="B577" i="3"/>
  <c r="B576" i="3"/>
  <c r="B575" i="3"/>
  <c r="B574" i="3"/>
  <c r="B573" i="3"/>
  <c r="B572" i="3"/>
  <c r="B571" i="3"/>
  <c r="B570" i="3"/>
  <c r="B569" i="3"/>
  <c r="B568" i="3"/>
  <c r="B567" i="3"/>
  <c r="B566" i="3"/>
  <c r="B565" i="3"/>
  <c r="B564" i="3"/>
  <c r="B563" i="3"/>
  <c r="B562" i="3"/>
  <c r="B561" i="3"/>
  <c r="B560" i="3"/>
  <c r="B559" i="3"/>
  <c r="B558" i="3"/>
  <c r="B557" i="3"/>
  <c r="B556" i="3"/>
  <c r="B555" i="3"/>
  <c r="B554" i="3"/>
  <c r="B553" i="3"/>
  <c r="B552" i="3"/>
  <c r="B551" i="3"/>
  <c r="B550" i="3"/>
  <c r="B549" i="3"/>
  <c r="B548" i="3"/>
  <c r="B547" i="3"/>
  <c r="B546" i="3"/>
  <c r="B545" i="3"/>
  <c r="B544" i="3"/>
  <c r="B543" i="3"/>
  <c r="B542" i="3"/>
  <c r="B541" i="3"/>
  <c r="B540" i="3"/>
  <c r="B539" i="3"/>
  <c r="B538" i="3"/>
  <c r="B537" i="3"/>
  <c r="B536" i="3"/>
  <c r="B535" i="3"/>
  <c r="B534" i="3"/>
  <c r="B533" i="3"/>
  <c r="B532" i="3"/>
  <c r="B531" i="3"/>
  <c r="B530" i="3"/>
  <c r="B529" i="3"/>
  <c r="B528" i="3"/>
  <c r="B527" i="3"/>
  <c r="B526" i="3"/>
  <c r="B525" i="3"/>
  <c r="B524" i="3"/>
  <c r="B523" i="3"/>
  <c r="B522" i="3"/>
  <c r="B521" i="3"/>
  <c r="B520" i="3"/>
  <c r="B519" i="3"/>
  <c r="B518" i="3"/>
  <c r="B517" i="3"/>
  <c r="B516" i="3"/>
  <c r="B515" i="3"/>
  <c r="B514" i="3"/>
  <c r="B513" i="3"/>
  <c r="B512" i="3"/>
  <c r="B511" i="3"/>
  <c r="B510" i="3"/>
  <c r="B509" i="3"/>
  <c r="B508" i="3"/>
  <c r="B507" i="3"/>
  <c r="B506" i="3"/>
  <c r="B505" i="3"/>
  <c r="B504" i="3"/>
  <c r="B503" i="3"/>
  <c r="B502" i="3"/>
  <c r="B501" i="3"/>
  <c r="B500" i="3"/>
  <c r="B499" i="3"/>
  <c r="B498" i="3"/>
  <c r="B497" i="3"/>
  <c r="B496" i="3"/>
  <c r="B495" i="3"/>
  <c r="B494" i="3"/>
  <c r="B493" i="3"/>
  <c r="B492" i="3"/>
  <c r="B491" i="3"/>
  <c r="B490" i="3"/>
  <c r="B489" i="3"/>
  <c r="B488" i="3"/>
  <c r="B487" i="3"/>
  <c r="B486" i="3"/>
  <c r="B485" i="3"/>
  <c r="B484" i="3"/>
  <c r="B483" i="3"/>
  <c r="B482" i="3"/>
  <c r="B481" i="3"/>
  <c r="B480" i="3"/>
  <c r="B479" i="3"/>
  <c r="B478" i="3"/>
  <c r="B477" i="3"/>
  <c r="B476" i="3"/>
  <c r="B475" i="3"/>
  <c r="B474" i="3"/>
  <c r="B473" i="3"/>
  <c r="B472" i="3"/>
  <c r="B471" i="3"/>
  <c r="B470" i="3"/>
  <c r="B469" i="3"/>
  <c r="B468" i="3"/>
  <c r="B467" i="3"/>
  <c r="B466" i="3"/>
  <c r="B465" i="3"/>
  <c r="B464" i="3"/>
  <c r="B463" i="3"/>
  <c r="B462" i="3"/>
  <c r="B461" i="3"/>
  <c r="B460" i="3"/>
  <c r="B459" i="3"/>
  <c r="B458" i="3"/>
  <c r="B457" i="3"/>
  <c r="B456" i="3"/>
  <c r="B455" i="3"/>
  <c r="B454" i="3"/>
  <c r="B453" i="3"/>
  <c r="B452" i="3"/>
  <c r="B451" i="3"/>
  <c r="B450" i="3"/>
  <c r="B449" i="3"/>
  <c r="B448" i="3"/>
  <c r="B447" i="3"/>
  <c r="B446" i="3"/>
  <c r="B445" i="3"/>
  <c r="B444" i="3"/>
  <c r="B443" i="3"/>
  <c r="B442" i="3"/>
  <c r="B441" i="3"/>
  <c r="B440" i="3"/>
  <c r="B439" i="3"/>
  <c r="B438" i="3"/>
  <c r="B437" i="3"/>
  <c r="B436" i="3"/>
  <c r="B435" i="3"/>
  <c r="B434" i="3"/>
  <c r="B433" i="3"/>
  <c r="B432" i="3"/>
  <c r="B431" i="3"/>
  <c r="B430" i="3"/>
  <c r="B429" i="3"/>
  <c r="B428" i="3"/>
  <c r="B427" i="3"/>
  <c r="B426" i="3"/>
  <c r="B425" i="3"/>
  <c r="B424" i="3"/>
  <c r="B423" i="3"/>
  <c r="B422" i="3"/>
  <c r="B421" i="3"/>
  <c r="B420" i="3"/>
  <c r="B419" i="3"/>
  <c r="B418" i="3"/>
  <c r="B417" i="3"/>
  <c r="B416" i="3"/>
  <c r="B415" i="3"/>
  <c r="B414" i="3"/>
  <c r="B413" i="3"/>
  <c r="B412" i="3"/>
  <c r="B411" i="3"/>
  <c r="B410" i="3"/>
  <c r="B409" i="3"/>
  <c r="B408" i="3"/>
  <c r="B407" i="3"/>
  <c r="B406" i="3"/>
  <c r="B405" i="3"/>
  <c r="B404" i="3"/>
  <c r="B403" i="3"/>
  <c r="B402" i="3"/>
  <c r="B401" i="3"/>
  <c r="B400" i="3"/>
  <c r="B399" i="3"/>
  <c r="B398" i="3"/>
  <c r="B397" i="3"/>
  <c r="B396" i="3"/>
  <c r="B395" i="3"/>
  <c r="B394" i="3"/>
  <c r="B393" i="3"/>
  <c r="B392" i="3"/>
  <c r="B391" i="3"/>
  <c r="B390" i="3"/>
  <c r="B389" i="3"/>
  <c r="B388" i="3"/>
  <c r="B387" i="3"/>
  <c r="B386" i="3"/>
  <c r="B385" i="3"/>
  <c r="B384" i="3"/>
  <c r="B383" i="3"/>
  <c r="B382" i="3"/>
  <c r="B381" i="3"/>
  <c r="B380" i="3"/>
  <c r="B379" i="3"/>
  <c r="B378" i="3"/>
  <c r="B377" i="3"/>
  <c r="B376" i="3"/>
  <c r="B375" i="3"/>
  <c r="B374" i="3"/>
  <c r="B373" i="3"/>
  <c r="B372" i="3"/>
  <c r="B371" i="3"/>
  <c r="B370" i="3"/>
  <c r="B369" i="3"/>
  <c r="B368" i="3"/>
  <c r="B367" i="3"/>
  <c r="B366" i="3"/>
  <c r="B365" i="3"/>
  <c r="B364" i="3"/>
  <c r="B363" i="3"/>
  <c r="B362" i="3"/>
  <c r="B361" i="3"/>
  <c r="B360" i="3"/>
  <c r="B359" i="3"/>
  <c r="B358" i="3"/>
  <c r="B357" i="3"/>
  <c r="B356" i="3"/>
  <c r="B355" i="3"/>
  <c r="B354" i="3"/>
  <c r="B353" i="3"/>
  <c r="B352" i="3"/>
  <c r="B351" i="3"/>
  <c r="B350" i="3"/>
  <c r="B349" i="3"/>
  <c r="B348" i="3"/>
  <c r="B347" i="3"/>
  <c r="B346" i="3"/>
  <c r="B345" i="3"/>
  <c r="B344" i="3"/>
  <c r="B343" i="3"/>
  <c r="B342" i="3"/>
  <c r="B341" i="3"/>
  <c r="B340" i="3"/>
  <c r="B339" i="3"/>
  <c r="B338" i="3"/>
  <c r="B337" i="3"/>
  <c r="B336" i="3"/>
  <c r="B335" i="3"/>
  <c r="B334" i="3"/>
  <c r="B333" i="3"/>
  <c r="B332" i="3"/>
  <c r="B331" i="3"/>
  <c r="B330" i="3"/>
  <c r="B329" i="3"/>
  <c r="B328" i="3"/>
  <c r="B327" i="3"/>
  <c r="B326" i="3"/>
  <c r="B325" i="3"/>
  <c r="B324" i="3"/>
  <c r="B323" i="3"/>
  <c r="B322" i="3"/>
  <c r="B321" i="3"/>
  <c r="B320" i="3"/>
  <c r="B319" i="3"/>
  <c r="B318" i="3"/>
  <c r="B317" i="3"/>
  <c r="B316" i="3"/>
  <c r="B315" i="3"/>
  <c r="B314" i="3"/>
  <c r="B313" i="3"/>
  <c r="B312" i="3"/>
  <c r="B311" i="3"/>
  <c r="B310" i="3"/>
  <c r="B309" i="3"/>
  <c r="B308" i="3"/>
  <c r="B307" i="3"/>
  <c r="B306" i="3"/>
  <c r="B305" i="3"/>
  <c r="B304" i="3"/>
  <c r="B303" i="3"/>
  <c r="B302" i="3"/>
  <c r="B301" i="3"/>
  <c r="B300" i="3"/>
  <c r="B299" i="3"/>
  <c r="B298" i="3"/>
  <c r="B297" i="3"/>
  <c r="B296" i="3"/>
  <c r="B295" i="3"/>
  <c r="B294" i="3"/>
  <c r="B293" i="3"/>
  <c r="B292" i="3"/>
  <c r="B291" i="3"/>
  <c r="B290" i="3"/>
  <c r="B289" i="3"/>
  <c r="B288" i="3"/>
  <c r="B287" i="3"/>
  <c r="B286" i="3"/>
  <c r="B285" i="3"/>
  <c r="B284" i="3"/>
  <c r="B283" i="3"/>
  <c r="B282" i="3"/>
  <c r="B281" i="3"/>
  <c r="B280" i="3"/>
  <c r="B279" i="3"/>
  <c r="B278" i="3"/>
  <c r="B277" i="3"/>
  <c r="B276" i="3"/>
  <c r="B275" i="3"/>
  <c r="B274" i="3"/>
  <c r="B273" i="3"/>
  <c r="B272" i="3"/>
  <c r="B271" i="3"/>
  <c r="B270" i="3"/>
  <c r="B269" i="3"/>
  <c r="B268" i="3"/>
  <c r="B267" i="3"/>
  <c r="B266" i="3"/>
  <c r="B265" i="3"/>
  <c r="B264" i="3"/>
  <c r="B263" i="3"/>
  <c r="B262" i="3"/>
  <c r="B261" i="3"/>
  <c r="B260" i="3"/>
  <c r="B259" i="3"/>
  <c r="B258" i="3"/>
  <c r="B257" i="3"/>
  <c r="B256" i="3"/>
  <c r="B255" i="3"/>
  <c r="B254" i="3"/>
  <c r="B253" i="3"/>
  <c r="C252" i="3"/>
  <c r="B252" i="3"/>
  <c r="C251" i="3"/>
  <c r="B251" i="3"/>
  <c r="C250" i="3"/>
  <c r="B250" i="3"/>
  <c r="C249" i="3"/>
  <c r="B249" i="3"/>
  <c r="C248" i="3"/>
  <c r="B248" i="3"/>
  <c r="C247" i="3"/>
  <c r="B247" i="3"/>
  <c r="C246" i="3"/>
  <c r="B246" i="3"/>
  <c r="C245" i="3"/>
  <c r="B245" i="3"/>
  <c r="C244" i="3"/>
  <c r="B244" i="3"/>
  <c r="C243" i="3"/>
  <c r="B243" i="3"/>
  <c r="C242" i="3"/>
  <c r="B242" i="3"/>
  <c r="C241" i="3"/>
  <c r="B241" i="3"/>
  <c r="C240" i="3"/>
  <c r="B240" i="3"/>
  <c r="C239" i="3"/>
  <c r="B239" i="3"/>
  <c r="C238" i="3"/>
  <c r="B238" i="3"/>
  <c r="C237" i="3"/>
  <c r="B237" i="3"/>
  <c r="C236" i="3"/>
  <c r="B236" i="3"/>
  <c r="C235" i="3"/>
  <c r="B235" i="3"/>
  <c r="C234" i="3"/>
  <c r="B234" i="3"/>
  <c r="C233" i="3"/>
  <c r="B233" i="3"/>
  <c r="C232" i="3"/>
  <c r="B232" i="3"/>
  <c r="C231" i="3"/>
  <c r="B231" i="3"/>
  <c r="C230" i="3"/>
  <c r="B230" i="3"/>
  <c r="C229" i="3"/>
  <c r="B229" i="3"/>
  <c r="C228" i="3"/>
  <c r="B228" i="3"/>
  <c r="C227" i="3"/>
  <c r="B227" i="3"/>
  <c r="C226" i="3"/>
  <c r="B226" i="3"/>
  <c r="C225" i="3"/>
  <c r="B225" i="3"/>
  <c r="C224" i="3"/>
  <c r="B224" i="3"/>
  <c r="C223" i="3"/>
  <c r="B223" i="3"/>
  <c r="C222" i="3"/>
  <c r="B222" i="3"/>
  <c r="C221" i="3"/>
  <c r="B221" i="3"/>
  <c r="C220" i="3"/>
  <c r="B220" i="3"/>
  <c r="C219" i="3"/>
  <c r="B219" i="3"/>
  <c r="C218" i="3"/>
  <c r="B218" i="3"/>
  <c r="C217" i="3"/>
  <c r="B217" i="3"/>
  <c r="C216" i="3"/>
  <c r="B216" i="3"/>
  <c r="C215" i="3"/>
  <c r="B215" i="3"/>
  <c r="C214" i="3"/>
  <c r="B214" i="3"/>
  <c r="C213" i="3"/>
  <c r="B213" i="3"/>
  <c r="C212" i="3"/>
  <c r="B212" i="3"/>
  <c r="C211" i="3"/>
  <c r="B211" i="3"/>
  <c r="C210" i="3"/>
  <c r="B210" i="3"/>
  <c r="C209" i="3"/>
  <c r="B209" i="3"/>
  <c r="C208" i="3"/>
  <c r="B208" i="3"/>
  <c r="D207" i="3"/>
  <c r="C207" i="3"/>
  <c r="B207" i="3"/>
  <c r="D206" i="3"/>
  <c r="C206" i="3"/>
  <c r="B206" i="3"/>
  <c r="D205" i="3"/>
  <c r="C205" i="3"/>
  <c r="B205" i="3"/>
  <c r="D204" i="3"/>
  <c r="C204" i="3"/>
  <c r="B204" i="3"/>
  <c r="D203" i="3"/>
  <c r="C203" i="3"/>
  <c r="B203" i="3"/>
  <c r="D202" i="3"/>
  <c r="C202" i="3"/>
  <c r="B202" i="3"/>
  <c r="D201" i="3"/>
  <c r="C201" i="3"/>
  <c r="B201" i="3"/>
  <c r="D200" i="3"/>
  <c r="C200" i="3"/>
  <c r="B200" i="3"/>
  <c r="D199" i="3"/>
  <c r="C199" i="3"/>
  <c r="B199" i="3"/>
  <c r="D198" i="3"/>
  <c r="C198" i="3"/>
  <c r="B198" i="3"/>
  <c r="D197" i="3"/>
  <c r="C197" i="3"/>
  <c r="B197" i="3"/>
  <c r="D196" i="3"/>
  <c r="C196" i="3"/>
  <c r="B196" i="3"/>
  <c r="D195" i="3"/>
  <c r="C195" i="3"/>
  <c r="B195" i="3"/>
  <c r="D194" i="3"/>
  <c r="C194" i="3"/>
  <c r="B194" i="3"/>
  <c r="D193" i="3"/>
  <c r="C193" i="3"/>
  <c r="B193" i="3"/>
  <c r="D192" i="3"/>
  <c r="C192" i="3"/>
  <c r="B192" i="3"/>
  <c r="D191" i="3"/>
  <c r="C191" i="3"/>
  <c r="B191" i="3"/>
  <c r="D190" i="3"/>
  <c r="C190" i="3"/>
  <c r="B190" i="3"/>
  <c r="D189" i="3"/>
  <c r="C189" i="3"/>
  <c r="B189" i="3"/>
  <c r="D188" i="3"/>
  <c r="C188" i="3"/>
  <c r="B188" i="3"/>
  <c r="D187" i="3"/>
  <c r="C187" i="3"/>
  <c r="B187" i="3"/>
  <c r="D186" i="3"/>
  <c r="C186" i="3"/>
  <c r="B186" i="3"/>
  <c r="D185" i="3"/>
  <c r="C185" i="3"/>
  <c r="B185" i="3"/>
  <c r="D184" i="3"/>
  <c r="C184" i="3"/>
  <c r="B184" i="3"/>
  <c r="D183" i="3"/>
  <c r="C183" i="3"/>
  <c r="B183" i="3"/>
  <c r="D182" i="3"/>
  <c r="C182" i="3"/>
  <c r="B182" i="3"/>
  <c r="D181" i="3"/>
  <c r="C181" i="3"/>
  <c r="B181" i="3"/>
  <c r="D180" i="3"/>
  <c r="C180" i="3"/>
  <c r="B180" i="3"/>
  <c r="D179" i="3"/>
  <c r="C179" i="3"/>
  <c r="B179" i="3"/>
  <c r="D178" i="3"/>
  <c r="C178" i="3"/>
  <c r="B178" i="3"/>
  <c r="D177" i="3"/>
  <c r="C177" i="3"/>
  <c r="B177" i="3"/>
  <c r="D176" i="3"/>
  <c r="C176" i="3"/>
  <c r="B176" i="3"/>
  <c r="D175" i="3"/>
  <c r="C175" i="3"/>
  <c r="B175" i="3"/>
  <c r="D174" i="3"/>
  <c r="C174" i="3"/>
  <c r="B174" i="3"/>
  <c r="D173" i="3"/>
  <c r="C173" i="3"/>
  <c r="B173" i="3"/>
  <c r="D172" i="3"/>
  <c r="C172" i="3"/>
  <c r="D171" i="3"/>
  <c r="C171" i="3"/>
  <c r="B171" i="3"/>
  <c r="D170" i="3"/>
  <c r="C170" i="3"/>
  <c r="B170" i="3"/>
  <c r="D169" i="3"/>
  <c r="C169" i="3"/>
  <c r="B169" i="3"/>
  <c r="D168" i="3"/>
  <c r="C168" i="3"/>
  <c r="B168" i="3"/>
  <c r="D167" i="3"/>
  <c r="C167" i="3"/>
  <c r="B167" i="3"/>
  <c r="D166" i="3"/>
  <c r="C166" i="3"/>
  <c r="B166" i="3"/>
  <c r="D165" i="3"/>
  <c r="C165" i="3"/>
  <c r="B165" i="3"/>
  <c r="D164" i="3"/>
  <c r="C164" i="3"/>
  <c r="B164" i="3"/>
  <c r="D163" i="3"/>
  <c r="C163" i="3"/>
  <c r="B163" i="3"/>
  <c r="D162" i="3"/>
  <c r="C162" i="3"/>
  <c r="B162" i="3"/>
  <c r="D161" i="3"/>
  <c r="C161" i="3"/>
  <c r="B161" i="3"/>
  <c r="D160" i="3"/>
  <c r="C160" i="3"/>
  <c r="B160" i="3"/>
  <c r="D159" i="3"/>
  <c r="C159" i="3"/>
  <c r="B159" i="3"/>
  <c r="D158" i="3"/>
  <c r="C158" i="3"/>
  <c r="B158" i="3"/>
  <c r="D157" i="3"/>
  <c r="C157" i="3"/>
  <c r="B157" i="3"/>
  <c r="D156" i="3"/>
  <c r="C156" i="3"/>
  <c r="B156" i="3"/>
  <c r="D155" i="3"/>
  <c r="C155" i="3"/>
  <c r="B155" i="3"/>
  <c r="D154" i="3"/>
  <c r="C154" i="3"/>
  <c r="B154" i="3"/>
  <c r="D153" i="3"/>
  <c r="C153" i="3"/>
  <c r="B153" i="3"/>
  <c r="D152" i="3"/>
  <c r="C152" i="3"/>
  <c r="B152" i="3"/>
  <c r="D151" i="3"/>
  <c r="C151" i="3"/>
  <c r="B151" i="3"/>
  <c r="D150" i="3"/>
  <c r="C150" i="3"/>
  <c r="B150" i="3"/>
  <c r="D149" i="3"/>
  <c r="C149" i="3"/>
  <c r="B149" i="3"/>
  <c r="D148" i="3"/>
  <c r="C148" i="3"/>
  <c r="B148" i="3"/>
  <c r="D147" i="3"/>
  <c r="C147" i="3"/>
  <c r="B147" i="3"/>
  <c r="D146" i="3"/>
  <c r="C146" i="3"/>
  <c r="B146" i="3"/>
  <c r="D145" i="3"/>
  <c r="C145" i="3"/>
  <c r="B145" i="3"/>
  <c r="D144" i="3"/>
  <c r="C144" i="3"/>
  <c r="B144" i="3"/>
  <c r="D143" i="3"/>
  <c r="C143" i="3"/>
  <c r="B143" i="3"/>
  <c r="D142" i="3"/>
  <c r="C142" i="3"/>
  <c r="B142" i="3"/>
  <c r="D141" i="3"/>
  <c r="C141" i="3"/>
  <c r="B141" i="3"/>
  <c r="D140" i="3"/>
  <c r="C140" i="3"/>
  <c r="B140" i="3"/>
  <c r="D139" i="3"/>
  <c r="C139" i="3"/>
  <c r="B139" i="3"/>
  <c r="D138" i="3"/>
  <c r="C138" i="3"/>
  <c r="B138" i="3"/>
  <c r="D137" i="3"/>
  <c r="C137" i="3"/>
  <c r="B137" i="3"/>
  <c r="D136" i="3"/>
  <c r="C136" i="3"/>
  <c r="B136" i="3"/>
  <c r="D135" i="3"/>
  <c r="C135" i="3"/>
  <c r="B135" i="3"/>
  <c r="D134" i="3"/>
  <c r="C134" i="3"/>
  <c r="B134" i="3"/>
  <c r="D133" i="3"/>
  <c r="C133" i="3"/>
  <c r="B133" i="3"/>
  <c r="D132" i="3"/>
  <c r="C132" i="3"/>
  <c r="B132" i="3"/>
  <c r="D131" i="3"/>
  <c r="C131" i="3"/>
  <c r="B131" i="3"/>
  <c r="D130" i="3"/>
  <c r="C130" i="3"/>
  <c r="B130" i="3"/>
  <c r="D129" i="3"/>
  <c r="C129" i="3"/>
  <c r="B129" i="3"/>
  <c r="D128" i="3"/>
  <c r="C128" i="3"/>
  <c r="B128" i="3"/>
  <c r="D127" i="3"/>
  <c r="C127" i="3"/>
  <c r="B127" i="3"/>
  <c r="D126" i="3"/>
  <c r="C126" i="3"/>
  <c r="B126" i="3"/>
  <c r="D125" i="3"/>
  <c r="C125" i="3"/>
  <c r="B125" i="3"/>
  <c r="D124" i="3"/>
  <c r="C124" i="3"/>
  <c r="B124" i="3"/>
  <c r="D123" i="3"/>
  <c r="C123" i="3"/>
  <c r="B123" i="3"/>
  <c r="D122" i="3"/>
  <c r="C122" i="3"/>
  <c r="B122" i="3"/>
  <c r="D121" i="3"/>
  <c r="C121" i="3"/>
  <c r="B121" i="3"/>
  <c r="D120" i="3"/>
  <c r="C120" i="3"/>
  <c r="B120" i="3"/>
  <c r="D119" i="3"/>
  <c r="C119" i="3"/>
  <c r="B119" i="3"/>
  <c r="D118" i="3"/>
  <c r="C118" i="3"/>
  <c r="B118" i="3"/>
  <c r="D117" i="3"/>
  <c r="C117" i="3"/>
  <c r="B117" i="3"/>
  <c r="D116" i="3"/>
  <c r="C116" i="3"/>
  <c r="B116" i="3"/>
  <c r="D115" i="3"/>
  <c r="C115" i="3"/>
  <c r="B115" i="3"/>
  <c r="D114" i="3"/>
  <c r="C114" i="3"/>
  <c r="B114" i="3"/>
  <c r="D113" i="3"/>
  <c r="C113" i="3"/>
  <c r="B113" i="3"/>
  <c r="D112" i="3"/>
  <c r="C112" i="3"/>
  <c r="B112" i="3"/>
  <c r="D111" i="3"/>
  <c r="C111" i="3"/>
  <c r="B111" i="3"/>
  <c r="D110" i="3"/>
  <c r="C110" i="3"/>
  <c r="B110" i="3"/>
  <c r="D109" i="3"/>
  <c r="C109" i="3"/>
  <c r="B109" i="3"/>
  <c r="D108" i="3"/>
  <c r="C108" i="3"/>
  <c r="B108" i="3"/>
  <c r="D107" i="3"/>
  <c r="C107" i="3"/>
  <c r="B107" i="3"/>
  <c r="D106" i="3"/>
  <c r="C106" i="3"/>
  <c r="B106" i="3"/>
  <c r="D105" i="3"/>
  <c r="C105" i="3"/>
  <c r="B105" i="3"/>
  <c r="D104" i="3"/>
  <c r="C104" i="3"/>
  <c r="B104" i="3"/>
  <c r="D103" i="3"/>
  <c r="C103" i="3"/>
  <c r="B103" i="3"/>
  <c r="D102" i="3"/>
  <c r="C102" i="3"/>
  <c r="B102" i="3"/>
  <c r="D101" i="3"/>
  <c r="C101" i="3"/>
  <c r="B101" i="3"/>
  <c r="D100" i="3"/>
  <c r="C100" i="3"/>
  <c r="B100" i="3"/>
  <c r="D99" i="3"/>
  <c r="C99" i="3"/>
  <c r="B99" i="3"/>
  <c r="D98" i="3"/>
  <c r="C98" i="3"/>
  <c r="B98" i="3"/>
  <c r="D97" i="3"/>
  <c r="C97" i="3"/>
  <c r="B97" i="3"/>
  <c r="D96" i="3"/>
  <c r="C96" i="3"/>
  <c r="B96" i="3"/>
  <c r="D95" i="3"/>
  <c r="C95" i="3"/>
  <c r="B95" i="3"/>
  <c r="D94" i="3"/>
  <c r="C94" i="3"/>
  <c r="B94" i="3"/>
  <c r="D93" i="3"/>
  <c r="C93" i="3"/>
  <c r="B93" i="3"/>
  <c r="D92" i="3"/>
  <c r="C92" i="3"/>
  <c r="B92" i="3"/>
  <c r="D91" i="3"/>
  <c r="C91" i="3"/>
  <c r="B91" i="3"/>
  <c r="D90" i="3"/>
  <c r="C90" i="3"/>
  <c r="B90" i="3"/>
  <c r="D89" i="3"/>
  <c r="C89" i="3"/>
  <c r="B89" i="3"/>
  <c r="D88" i="3"/>
  <c r="C88" i="3"/>
  <c r="B88" i="3"/>
  <c r="D87" i="3"/>
  <c r="C87" i="3"/>
  <c r="B87" i="3"/>
  <c r="D86" i="3"/>
  <c r="C86" i="3"/>
  <c r="D85" i="3"/>
  <c r="C85" i="3"/>
  <c r="B85" i="3"/>
  <c r="D84" i="3"/>
  <c r="C84" i="3"/>
  <c r="B84" i="3"/>
  <c r="D83" i="3"/>
  <c r="C83" i="3"/>
  <c r="B83" i="3"/>
  <c r="D82" i="3"/>
  <c r="C82" i="3"/>
  <c r="B82" i="3"/>
  <c r="D81" i="3"/>
  <c r="C81" i="3"/>
  <c r="B81" i="3"/>
  <c r="D80" i="3"/>
  <c r="C80" i="3"/>
  <c r="B80" i="3"/>
  <c r="D79" i="3"/>
  <c r="C79" i="3"/>
  <c r="B79" i="3"/>
  <c r="D78" i="3"/>
  <c r="C78" i="3"/>
  <c r="B78" i="3"/>
  <c r="D77" i="3"/>
  <c r="C77" i="3"/>
  <c r="B77" i="3"/>
  <c r="D76" i="3"/>
  <c r="C76" i="3"/>
  <c r="B76" i="3"/>
  <c r="D75" i="3"/>
  <c r="C75" i="3"/>
  <c r="B75" i="3"/>
  <c r="D74" i="3"/>
  <c r="C74" i="3"/>
  <c r="B74" i="3"/>
  <c r="D73" i="3"/>
  <c r="C73" i="3"/>
  <c r="B73" i="3"/>
  <c r="D72" i="3"/>
  <c r="C72" i="3"/>
  <c r="B72" i="3"/>
  <c r="D71" i="3"/>
  <c r="C71" i="3"/>
  <c r="B71" i="3"/>
  <c r="D70" i="3"/>
  <c r="C70" i="3"/>
  <c r="B70" i="3"/>
  <c r="D69" i="3"/>
  <c r="C69" i="3"/>
  <c r="B69" i="3"/>
  <c r="D68" i="3"/>
  <c r="C68" i="3"/>
  <c r="B68" i="3"/>
  <c r="D67" i="3"/>
  <c r="C67" i="3"/>
  <c r="B67" i="3"/>
  <c r="D66" i="3"/>
  <c r="C66" i="3"/>
  <c r="B66" i="3"/>
  <c r="D65" i="3"/>
  <c r="C65" i="3"/>
  <c r="B65" i="3"/>
  <c r="D64" i="3"/>
  <c r="C64" i="3"/>
  <c r="B64" i="3"/>
  <c r="D63" i="3"/>
  <c r="C63" i="3"/>
  <c r="B63" i="3"/>
  <c r="D62" i="3"/>
  <c r="C62" i="3"/>
  <c r="B62" i="3"/>
  <c r="D61" i="3"/>
  <c r="C61" i="3"/>
  <c r="B61" i="3"/>
  <c r="D60" i="3"/>
  <c r="C60" i="3"/>
  <c r="B60" i="3"/>
  <c r="D59" i="3"/>
  <c r="C59" i="3"/>
  <c r="B59" i="3"/>
  <c r="D58" i="3"/>
  <c r="C58" i="3"/>
  <c r="B58" i="3"/>
  <c r="D57" i="3"/>
  <c r="C57" i="3"/>
  <c r="B57" i="3"/>
  <c r="D56" i="3"/>
  <c r="C56" i="3"/>
  <c r="B56" i="3"/>
  <c r="D55" i="3"/>
  <c r="C55" i="3"/>
  <c r="B55" i="3"/>
  <c r="D54" i="3"/>
  <c r="C54" i="3"/>
  <c r="B54" i="3"/>
  <c r="D53" i="3"/>
  <c r="C53" i="3"/>
  <c r="B53" i="3"/>
  <c r="D52" i="3"/>
  <c r="C52" i="3"/>
  <c r="B52" i="3"/>
  <c r="D51" i="3"/>
  <c r="C51" i="3"/>
  <c r="B51" i="3"/>
  <c r="D50" i="3"/>
  <c r="C50" i="3"/>
  <c r="B50" i="3"/>
  <c r="D49" i="3"/>
  <c r="C49" i="3"/>
  <c r="B49" i="3"/>
  <c r="D48" i="3"/>
  <c r="C48" i="3"/>
  <c r="B48" i="3"/>
  <c r="D47" i="3"/>
  <c r="C47" i="3"/>
  <c r="B47" i="3"/>
  <c r="D46" i="3"/>
  <c r="C46" i="3"/>
  <c r="B46" i="3"/>
  <c r="D45" i="3"/>
  <c r="C45" i="3"/>
  <c r="B45" i="3"/>
  <c r="D44" i="3"/>
  <c r="C44" i="3"/>
  <c r="B44" i="3"/>
  <c r="D43" i="3"/>
  <c r="C43" i="3"/>
  <c r="B43" i="3"/>
  <c r="D42" i="3"/>
  <c r="C42" i="3"/>
  <c r="B42" i="3"/>
  <c r="D41" i="3"/>
  <c r="C41" i="3"/>
  <c r="B41" i="3"/>
  <c r="D40" i="3"/>
  <c r="C40" i="3"/>
  <c r="B40" i="3"/>
  <c r="D39" i="3"/>
  <c r="C39" i="3"/>
  <c r="B39" i="3"/>
  <c r="D38" i="3"/>
  <c r="C38" i="3"/>
  <c r="B38" i="3"/>
  <c r="D37" i="3"/>
  <c r="C37" i="3"/>
  <c r="B37" i="3"/>
  <c r="D35" i="3"/>
  <c r="C35" i="3"/>
  <c r="B35" i="3"/>
  <c r="D34" i="3"/>
  <c r="C34" i="3"/>
  <c r="B34" i="3"/>
  <c r="D33" i="3"/>
  <c r="C33" i="3"/>
  <c r="B33" i="3"/>
  <c r="D32" i="3"/>
  <c r="C32" i="3"/>
  <c r="B32" i="3"/>
  <c r="D31" i="3"/>
  <c r="C31" i="3"/>
  <c r="B31" i="3"/>
  <c r="D30" i="3"/>
  <c r="C30" i="3"/>
  <c r="B30" i="3"/>
  <c r="D29" i="3"/>
  <c r="C29" i="3"/>
  <c r="B29" i="3"/>
  <c r="D28" i="3"/>
  <c r="C28" i="3"/>
  <c r="B28" i="3"/>
  <c r="D27" i="3"/>
  <c r="C27" i="3"/>
  <c r="B27" i="3"/>
  <c r="D26" i="3"/>
  <c r="C26" i="3"/>
  <c r="B26" i="3"/>
  <c r="D25" i="3"/>
  <c r="C25" i="3"/>
  <c r="B25" i="3"/>
  <c r="D24" i="3"/>
  <c r="C24" i="3"/>
  <c r="B24" i="3"/>
  <c r="D23" i="3"/>
  <c r="C23" i="3"/>
  <c r="B23" i="3"/>
  <c r="D22" i="3"/>
  <c r="C22" i="3"/>
  <c r="B22" i="3"/>
  <c r="D21" i="3"/>
  <c r="C21" i="3"/>
  <c r="D20" i="3"/>
  <c r="C20" i="3"/>
  <c r="B20" i="3"/>
  <c r="D19" i="3"/>
  <c r="C19" i="3"/>
  <c r="B19" i="3"/>
  <c r="D18" i="3"/>
  <c r="C18" i="3"/>
  <c r="B18" i="3"/>
  <c r="D17" i="3"/>
  <c r="C17" i="3"/>
  <c r="B17" i="3"/>
  <c r="D16" i="3"/>
  <c r="C16" i="3"/>
  <c r="B16" i="3"/>
  <c r="D15" i="3"/>
  <c r="C15" i="3"/>
  <c r="B15" i="3"/>
  <c r="D14" i="3"/>
  <c r="C14" i="3"/>
  <c r="B14" i="3"/>
  <c r="D13" i="3"/>
  <c r="C13" i="3"/>
  <c r="D12" i="3"/>
  <c r="C12" i="3"/>
  <c r="B12" i="3"/>
  <c r="D11" i="3"/>
  <c r="C11" i="3"/>
  <c r="D10" i="3"/>
  <c r="C10" i="3"/>
  <c r="B10" i="3"/>
  <c r="D9" i="3"/>
  <c r="C9" i="3"/>
  <c r="B9" i="3"/>
  <c r="D8" i="3"/>
  <c r="C8" i="3"/>
  <c r="D7" i="3"/>
  <c r="C7" i="3"/>
  <c r="B7" i="3"/>
  <c r="D6" i="3"/>
  <c r="C6" i="3"/>
  <c r="B6" i="3"/>
  <c r="D5" i="3"/>
  <c r="C5" i="3"/>
  <c r="B5" i="3"/>
  <c r="D4" i="3"/>
  <c r="C4" i="3"/>
  <c r="X3" i="8" s="1"/>
  <c r="X4" i="8" s="1"/>
  <c r="X5" i="8" s="1"/>
  <c r="X6" i="8" s="1"/>
  <c r="X7" i="8" s="1"/>
  <c r="X8" i="8" s="1"/>
  <c r="X9" i="8" s="1"/>
  <c r="X10" i="8" s="1"/>
  <c r="X11" i="8" s="1"/>
  <c r="X12" i="8" s="1"/>
  <c r="X13" i="8" s="1"/>
  <c r="X14" i="8" s="1"/>
  <c r="X15" i="8" s="1"/>
  <c r="X16" i="8" s="1"/>
  <c r="B4" i="3"/>
  <c r="J3" i="10" s="1"/>
  <c r="J4" i="10" s="1"/>
  <c r="J5" i="10" s="1"/>
  <c r="J6" i="10" s="1"/>
  <c r="J7" i="10" s="1"/>
  <c r="J8" i="10" s="1"/>
  <c r="J9" i="10" s="1"/>
  <c r="J10" i="10" s="1"/>
  <c r="J11" i="10" s="1"/>
  <c r="J12" i="10" s="1"/>
  <c r="J13" i="10" s="1"/>
  <c r="J14" i="10" s="1"/>
  <c r="J15" i="10" s="1"/>
  <c r="J16" i="10" s="1"/>
  <c r="J17" i="10" s="1"/>
  <c r="J18" i="10" s="1"/>
  <c r="J19" i="10" s="1"/>
  <c r="J20" i="10" s="1"/>
  <c r="J21" i="10" s="1"/>
  <c r="J22" i="10" s="1"/>
  <c r="J23" i="10" s="1"/>
  <c r="L12" i="2"/>
  <c r="N12" i="2" s="1"/>
  <c r="N11" i="2"/>
  <c r="L11" i="2"/>
  <c r="N10" i="2"/>
  <c r="L10" i="2"/>
  <c r="L9" i="2"/>
  <c r="N9" i="2" s="1"/>
  <c r="L6" i="2"/>
  <c r="N6" i="2" s="1"/>
  <c r="N5" i="2"/>
  <c r="L5" i="2"/>
  <c r="N4" i="2"/>
  <c r="L4" i="2"/>
  <c r="L3" i="2"/>
  <c r="N3" i="2" s="1"/>
  <c r="F18" i="5" l="1"/>
  <c r="F28" i="5" s="1"/>
  <c r="H28" i="5"/>
  <c r="F4" i="5"/>
  <c r="F14" i="5" s="1"/>
  <c r="H14" i="5"/>
  <c r="G18" i="5"/>
  <c r="G42" i="5"/>
  <c r="H42" i="5"/>
  <c r="F32" i="5"/>
  <c r="F42" i="5" s="1"/>
  <c r="I4" i="5"/>
  <c r="O28" i="5"/>
  <c r="I42" i="5"/>
  <c r="P3" i="8"/>
  <c r="P4" i="8" s="1"/>
  <c r="P5" i="8" s="1"/>
  <c r="P6" i="8" s="1"/>
  <c r="P7" i="8" s="1"/>
  <c r="P8" i="8" s="1"/>
  <c r="P9" i="8" s="1"/>
  <c r="P10" i="8" s="1"/>
  <c r="P11" i="8" s="1"/>
  <c r="P12" i="8" s="1"/>
  <c r="P13" i="8" s="1"/>
  <c r="P14" i="8" s="1"/>
  <c r="P15" i="8" s="1"/>
  <c r="P16" i="8" s="1"/>
  <c r="J42" i="5"/>
  <c r="C2" i="6"/>
  <c r="J3" i="9"/>
  <c r="J4" i="9" s="1"/>
  <c r="J5" i="9" s="1"/>
  <c r="J6" i="9" s="1"/>
  <c r="J7" i="9" s="1"/>
  <c r="J8" i="9" s="1"/>
  <c r="J9" i="9" s="1"/>
  <c r="J10" i="9" s="1"/>
  <c r="J11" i="9" s="1"/>
  <c r="J12" i="9" s="1"/>
  <c r="J13" i="9" s="1"/>
  <c r="J14" i="9" s="1"/>
  <c r="J15" i="9" s="1"/>
  <c r="J16" i="9" s="1"/>
  <c r="I6" i="5"/>
  <c r="G6" i="5" s="1"/>
  <c r="T3" i="10"/>
  <c r="T4" i="10" s="1"/>
  <c r="T5" i="10" s="1"/>
  <c r="T6" i="10" s="1"/>
  <c r="T7" i="10" s="1"/>
  <c r="T8" i="10" s="1"/>
  <c r="T9" i="10" s="1"/>
  <c r="T10" i="10" s="1"/>
  <c r="T11" i="10" s="1"/>
  <c r="T12" i="10" s="1"/>
  <c r="T13" i="10" s="1"/>
  <c r="T14" i="10" s="1"/>
  <c r="T15" i="10" s="1"/>
  <c r="T16" i="10" s="1"/>
  <c r="T17" i="10" s="1"/>
  <c r="T18" i="10" s="1"/>
  <c r="T19" i="10" s="1"/>
  <c r="T20" i="10" s="1"/>
  <c r="T21" i="10" s="1"/>
  <c r="T22" i="10" s="1"/>
  <c r="T23" i="10" s="1"/>
  <c r="L3" i="10"/>
  <c r="L4" i="10" s="1"/>
  <c r="L5" i="10" s="1"/>
  <c r="L6" i="10" s="1"/>
  <c r="L7" i="10" s="1"/>
  <c r="L8" i="10" s="1"/>
  <c r="L9" i="10" s="1"/>
  <c r="L10" i="10" s="1"/>
  <c r="L11" i="10" s="1"/>
  <c r="L12" i="10" s="1"/>
  <c r="L13" i="10" s="1"/>
  <c r="L14" i="10" s="1"/>
  <c r="L15" i="10" s="1"/>
  <c r="L16" i="10" s="1"/>
  <c r="L17" i="10" s="1"/>
  <c r="L18" i="10" s="1"/>
  <c r="L19" i="10" s="1"/>
  <c r="L20" i="10" s="1"/>
  <c r="L21" i="10" s="1"/>
  <c r="L22" i="10" s="1"/>
  <c r="L23" i="10" s="1"/>
  <c r="T3" i="9"/>
  <c r="T4" i="9" s="1"/>
  <c r="T5" i="9" s="1"/>
  <c r="T6" i="9" s="1"/>
  <c r="T7" i="9" s="1"/>
  <c r="T8" i="9" s="1"/>
  <c r="T9" i="9" s="1"/>
  <c r="T10" i="9" s="1"/>
  <c r="T11" i="9" s="1"/>
  <c r="T12" i="9" s="1"/>
  <c r="T13" i="9" s="1"/>
  <c r="T14" i="9" s="1"/>
  <c r="T15" i="9" s="1"/>
  <c r="T16" i="9" s="1"/>
  <c r="L3" i="9"/>
  <c r="L4" i="9" s="1"/>
  <c r="L5" i="9" s="1"/>
  <c r="L6" i="9" s="1"/>
  <c r="L7" i="9" s="1"/>
  <c r="L8" i="9" s="1"/>
  <c r="L9" i="9" s="1"/>
  <c r="L10" i="9" s="1"/>
  <c r="L11" i="9" s="1"/>
  <c r="L12" i="9" s="1"/>
  <c r="L13" i="9" s="1"/>
  <c r="L14" i="9" s="1"/>
  <c r="L15" i="9" s="1"/>
  <c r="L16" i="9" s="1"/>
  <c r="R3" i="10"/>
  <c r="R4" i="10" s="1"/>
  <c r="R5" i="10" s="1"/>
  <c r="R6" i="10" s="1"/>
  <c r="R7" i="10" s="1"/>
  <c r="R8" i="10" s="1"/>
  <c r="R9" i="10" s="1"/>
  <c r="R10" i="10" s="1"/>
  <c r="R11" i="10" s="1"/>
  <c r="R12" i="10" s="1"/>
  <c r="R13" i="10" s="1"/>
  <c r="R14" i="10" s="1"/>
  <c r="R15" i="10" s="1"/>
  <c r="R16" i="10" s="1"/>
  <c r="R17" i="10" s="1"/>
  <c r="R18" i="10" s="1"/>
  <c r="R19" i="10" s="1"/>
  <c r="R20" i="10" s="1"/>
  <c r="R21" i="10" s="1"/>
  <c r="R22" i="10" s="1"/>
  <c r="R23" i="10" s="1"/>
  <c r="P3" i="10"/>
  <c r="P4" i="10" s="1"/>
  <c r="P5" i="10" s="1"/>
  <c r="P6" i="10" s="1"/>
  <c r="P7" i="10" s="1"/>
  <c r="P8" i="10" s="1"/>
  <c r="P9" i="10" s="1"/>
  <c r="P10" i="10" s="1"/>
  <c r="P11" i="10" s="1"/>
  <c r="P12" i="10" s="1"/>
  <c r="P13" i="10" s="1"/>
  <c r="P14" i="10" s="1"/>
  <c r="P15" i="10" s="1"/>
  <c r="P16" i="10" s="1"/>
  <c r="P17" i="10" s="1"/>
  <c r="P18" i="10" s="1"/>
  <c r="P19" i="10" s="1"/>
  <c r="P20" i="10" s="1"/>
  <c r="P21" i="10" s="1"/>
  <c r="P22" i="10" s="1"/>
  <c r="P23" i="10" s="1"/>
  <c r="P3" i="9"/>
  <c r="P4" i="9" s="1"/>
  <c r="P5" i="9" s="1"/>
  <c r="P6" i="9" s="1"/>
  <c r="P7" i="9" s="1"/>
  <c r="P8" i="9" s="1"/>
  <c r="P9" i="9" s="1"/>
  <c r="P10" i="9" s="1"/>
  <c r="P11" i="9" s="1"/>
  <c r="P12" i="9" s="1"/>
  <c r="P13" i="9" s="1"/>
  <c r="P14" i="9" s="1"/>
  <c r="P15" i="9" s="1"/>
  <c r="P16" i="9" s="1"/>
  <c r="N3" i="10"/>
  <c r="N4" i="10" s="1"/>
  <c r="N5" i="10" s="1"/>
  <c r="N6" i="10" s="1"/>
  <c r="N7" i="10" s="1"/>
  <c r="N8" i="10" s="1"/>
  <c r="N9" i="10" s="1"/>
  <c r="N10" i="10" s="1"/>
  <c r="N11" i="10" s="1"/>
  <c r="N12" i="10" s="1"/>
  <c r="N13" i="10" s="1"/>
  <c r="N14" i="10" s="1"/>
  <c r="N15" i="10" s="1"/>
  <c r="N16" i="10" s="1"/>
  <c r="N17" i="10" s="1"/>
  <c r="N18" i="10" s="1"/>
  <c r="N19" i="10" s="1"/>
  <c r="N20" i="10" s="1"/>
  <c r="N21" i="10" s="1"/>
  <c r="N22" i="10" s="1"/>
  <c r="N23" i="10" s="1"/>
  <c r="N3" i="9"/>
  <c r="N4" i="9" s="1"/>
  <c r="N5" i="9" s="1"/>
  <c r="N6" i="9" s="1"/>
  <c r="N7" i="9" s="1"/>
  <c r="N8" i="9" s="1"/>
  <c r="N9" i="9" s="1"/>
  <c r="N10" i="9" s="1"/>
  <c r="N11" i="9" s="1"/>
  <c r="N12" i="9" s="1"/>
  <c r="N13" i="9" s="1"/>
  <c r="N14" i="9" s="1"/>
  <c r="N15" i="9" s="1"/>
  <c r="N16" i="9" s="1"/>
  <c r="I20" i="5"/>
  <c r="G20" i="5" s="1"/>
  <c r="J3" i="8"/>
  <c r="J4" i="8" s="1"/>
  <c r="J5" i="8" s="1"/>
  <c r="J6" i="8" s="1"/>
  <c r="J7" i="8" s="1"/>
  <c r="J8" i="8" s="1"/>
  <c r="J9" i="8" s="1"/>
  <c r="J10" i="8" s="1"/>
  <c r="J11" i="8" s="1"/>
  <c r="J12" i="8" s="1"/>
  <c r="J13" i="8" s="1"/>
  <c r="J14" i="8" s="1"/>
  <c r="J15" i="8" s="1"/>
  <c r="J16" i="8" s="1"/>
  <c r="R3" i="8"/>
  <c r="R4" i="8" s="1"/>
  <c r="R5" i="8" s="1"/>
  <c r="R6" i="8" s="1"/>
  <c r="R7" i="8" s="1"/>
  <c r="R8" i="8" s="1"/>
  <c r="R9" i="8" s="1"/>
  <c r="R10" i="8" s="1"/>
  <c r="R11" i="8" s="1"/>
  <c r="R12" i="8" s="1"/>
  <c r="R13" i="8" s="1"/>
  <c r="R14" i="8" s="1"/>
  <c r="R15" i="8" s="1"/>
  <c r="R16" i="8" s="1"/>
  <c r="Z3" i="8"/>
  <c r="Z4" i="8" s="1"/>
  <c r="Z5" i="8" s="1"/>
  <c r="Z6" i="8" s="1"/>
  <c r="Z7" i="8" s="1"/>
  <c r="Z8" i="8" s="1"/>
  <c r="Z9" i="8" s="1"/>
  <c r="Z10" i="8" s="1"/>
  <c r="Z11" i="8" s="1"/>
  <c r="Z12" i="8" s="1"/>
  <c r="Z13" i="8" s="1"/>
  <c r="Z14" i="8" s="1"/>
  <c r="Z15" i="8" s="1"/>
  <c r="Z16" i="8" s="1"/>
  <c r="J28" i="5"/>
  <c r="L3" i="8"/>
  <c r="L4" i="8" s="1"/>
  <c r="L5" i="8" s="1"/>
  <c r="L6" i="8" s="1"/>
  <c r="L7" i="8" s="1"/>
  <c r="L8" i="8" s="1"/>
  <c r="L9" i="8" s="1"/>
  <c r="L10" i="8" s="1"/>
  <c r="L11" i="8" s="1"/>
  <c r="L12" i="8" s="1"/>
  <c r="L13" i="8" s="1"/>
  <c r="L14" i="8" s="1"/>
  <c r="L15" i="8" s="1"/>
  <c r="L16" i="8" s="1"/>
  <c r="T3" i="8"/>
  <c r="T4" i="8" s="1"/>
  <c r="T5" i="8" s="1"/>
  <c r="T6" i="8" s="1"/>
  <c r="T7" i="8" s="1"/>
  <c r="T8" i="8" s="1"/>
  <c r="T9" i="8" s="1"/>
  <c r="T10" i="8" s="1"/>
  <c r="T11" i="8" s="1"/>
  <c r="T12" i="8" s="1"/>
  <c r="T13" i="8" s="1"/>
  <c r="T14" i="8" s="1"/>
  <c r="T15" i="8" s="1"/>
  <c r="T16" i="8" s="1"/>
  <c r="AB3" i="8"/>
  <c r="AB4" i="8" s="1"/>
  <c r="AB5" i="8" s="1"/>
  <c r="AB6" i="8" s="1"/>
  <c r="AB7" i="8" s="1"/>
  <c r="AB8" i="8" s="1"/>
  <c r="AB9" i="8" s="1"/>
  <c r="AB10" i="8" s="1"/>
  <c r="AB11" i="8" s="1"/>
  <c r="AB12" i="8" s="1"/>
  <c r="AB13" i="8" s="1"/>
  <c r="AB14" i="8" s="1"/>
  <c r="AB15" i="8" s="1"/>
  <c r="AB16" i="8" s="1"/>
  <c r="J14" i="5"/>
  <c r="N3" i="8"/>
  <c r="N4" i="8" s="1"/>
  <c r="N5" i="8" s="1"/>
  <c r="N6" i="8" s="1"/>
  <c r="N7" i="8" s="1"/>
  <c r="N8" i="8" s="1"/>
  <c r="N9" i="8" s="1"/>
  <c r="N10" i="8" s="1"/>
  <c r="N11" i="8" s="1"/>
  <c r="N12" i="8" s="1"/>
  <c r="N13" i="8" s="1"/>
  <c r="N14" i="8" s="1"/>
  <c r="N15" i="8" s="1"/>
  <c r="N16" i="8" s="1"/>
  <c r="V3" i="8"/>
  <c r="V4" i="8" s="1"/>
  <c r="V5" i="8" s="1"/>
  <c r="V6" i="8" s="1"/>
  <c r="V7" i="8" s="1"/>
  <c r="V8" i="8" s="1"/>
  <c r="V9" i="8" s="1"/>
  <c r="V10" i="8" s="1"/>
  <c r="V11" i="8" s="1"/>
  <c r="V12" i="8" s="1"/>
  <c r="V13" i="8" s="1"/>
  <c r="V14" i="8" s="1"/>
  <c r="V15" i="8" s="1"/>
  <c r="V16" i="8" s="1"/>
  <c r="R3" i="9"/>
  <c r="R4" i="9" s="1"/>
  <c r="R5" i="9" s="1"/>
  <c r="R6" i="9" s="1"/>
  <c r="R7" i="9" s="1"/>
  <c r="R8" i="9" s="1"/>
  <c r="R9" i="9" s="1"/>
  <c r="R10" i="9" s="1"/>
  <c r="R11" i="9" s="1"/>
  <c r="R12" i="9" s="1"/>
  <c r="R13" i="9" s="1"/>
  <c r="R14" i="9" s="1"/>
  <c r="R15" i="9" s="1"/>
  <c r="R16" i="9" s="1"/>
  <c r="J1" i="6" l="1"/>
  <c r="D2" i="6"/>
  <c r="I28" i="5"/>
  <c r="G28" i="5"/>
  <c r="I14" i="5"/>
  <c r="G4" i="5"/>
  <c r="G14" i="5" s="1"/>
  <c r="K1" i="6" l="1"/>
  <c r="E2" i="6"/>
  <c r="L1" i="6" l="1"/>
  <c r="F2" i="6"/>
  <c r="M1"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0100-000001000000}">
      <text>
        <r>
          <rPr>
            <sz val="10"/>
            <color rgb="FF000000"/>
            <rFont val="Arial"/>
            <scheme val="minor"/>
          </rPr>
          <t>Pour accéder au programme l’utilisateur doit entrer son pseudo et
son mot de passe. S’il n’a pas encore de compte, il peut en créer un
(local à l’ordinateur) en choisissant un pseudo et un mot de passe.
Le logiciel vérifie que le pseudo n’est pas déjà utilisé.
Chaque utilisateur aura alors accès à ses propres jeux de cartes et
statistiques. Il peut également modifier son mot de passe grâce à
un menu d’édition de compte.</t>
        </r>
      </text>
    </comment>
    <comment ref="B3" authorId="0" shapeId="0" xr:uid="{00000000-0006-0000-0100-000002000000}">
      <text>
        <r>
          <rPr>
            <sz val="10"/>
            <color rgb="FF000000"/>
            <rFont val="Arial"/>
            <scheme val="minor"/>
          </rPr>
          <t xml:space="preserve"> L’utilisateur peut créer un jeu de cartes, lui donner un nom et
une ou plusieurs catégories (par exemple, le nom d’un cours pour
lequel le paquet aide à la révision ou le type de questions qu’on
trouve dans le paquet). Une fois le paquet de cartes enregistré, il
apparaît dans un menu permettant de parcourir les jeux de cartes.
Il est possible de filtrer les jeux de cartes pour n’afficher que ceux
qui appartiennent à une certaine catégorie. L’utilisateur peut éga-
lement supprimer un jeu de cartes ou le sélectionner pour l’éditer.</t>
        </r>
      </text>
    </comment>
    <comment ref="B4" authorId="0" shapeId="0" xr:uid="{00000000-0006-0000-0100-000003000000}">
      <text>
        <r>
          <rPr>
            <sz val="10"/>
            <color rgb="FF000000"/>
            <rFont val="Arial"/>
            <scheme val="minor"/>
          </rPr>
          <t xml:space="preserve"> Lorsque l’utilisateur édite un paquet de cartes, il peut y ajouter
autant de cartes qu’il le souhaite. Chaque carte est composée de
deux faces : un recto (contenant une question) et un verso (avec
la réponse). Il peut également supprimer une carte ou en modifier
une existante.</t>
        </r>
      </text>
    </comment>
    <comment ref="B5" authorId="0" shapeId="0" xr:uid="{00000000-0006-0000-0100-000004000000}">
      <text>
        <r>
          <rPr>
            <sz val="10"/>
            <color rgb="FF000000"/>
            <rFont val="Arial"/>
            <scheme val="minor"/>
          </rPr>
          <t>L’utilisateur peut étudier un jeu de cartes en le sélectionnant dans
le menu. Le programme lui présente chaque carte du paquet dans
un ordre aléatoire, côté question. Quand l’utilisateur le demande,
la réponse est affichée.
Il indique alors au programme s’il connaissait ou non la réponse
grâce à des boutons. Plusieurs boutons sont disponibles pour
indiquer son degré de connaissance : Très bonne, bonne, moyenne,
mauvaise ou très mauvaise connaissance.</t>
        </r>
      </text>
    </comment>
    <comment ref="B6" authorId="0" shapeId="0" xr:uid="{00000000-0006-0000-0100-000005000000}">
      <text>
        <r>
          <rPr>
            <sz val="10"/>
            <color rgb="FF000000"/>
            <rFont val="Arial"/>
            <scheme val="minor"/>
          </rPr>
          <t>Quand l’utilisateur étudie un paquet de cartes, l’application lui pré-
sente les cartes de sorte à ce que celles qui sont le moins bien
connues apparaissent plus souvent.</t>
        </r>
      </text>
    </comment>
    <comment ref="B7" authorId="0" shapeId="0" xr:uid="{00000000-0006-0000-0100-000006000000}">
      <text>
        <r>
          <rPr>
            <sz val="10"/>
            <color rgb="FF000000"/>
            <rFont val="Arial"/>
            <scheme val="minor"/>
          </rPr>
          <t>Deux modes de jeu sont proposés.
Le premier est le mode «révision» où les questions les moins maî-
trisées reviennent plus souvent de sorte à apprendre la matière.
Le second est le mode «libre» où l’utilisateur peut s’amuser libre-
ment avec les cartes et essayer d’obtenir le meilleur score sur un
jeu de carte choisi.</t>
        </r>
      </text>
    </comment>
    <comment ref="B8" authorId="0" shapeId="0" xr:uid="{00000000-0006-0000-0100-000007000000}">
      <text>
        <r>
          <rPr>
            <sz val="10"/>
            <color rgb="FF000000"/>
            <rFont val="Arial"/>
            <scheme val="minor"/>
          </rPr>
          <t>Lorsqu’un utilisateur crée une carte, il doit pouvoir choisir le type
de carte (textuelle, audio, vidéo, ...). On doit pouvoir mélanger les
types de cartes dans un même paquet.</t>
        </r>
      </text>
    </comment>
    <comment ref="B9" authorId="0" shapeId="0" xr:uid="{00000000-0006-0000-0100-000008000000}">
      <text>
        <r>
          <rPr>
            <sz val="10"/>
            <color rgb="FF000000"/>
            <rFont val="Arial"/>
            <scheme val="minor"/>
          </rPr>
          <t>Les réponses à une question peuvent être de différente nature :
— Texte à trous à compléter
— Choix multiple
— Réponse ouverte
— ...</t>
        </r>
      </text>
    </comment>
    <comment ref="B10" authorId="0" shapeId="0" xr:uid="{00000000-0006-0000-0100-000009000000}">
      <text>
        <r>
          <rPr>
            <sz val="10"/>
            <color rgb="FF000000"/>
            <rFont val="Arial"/>
            <scheme val="minor"/>
          </rPr>
          <t xml:space="preserve"> Le programme offre deux niveaux de statistiques à l’utilisateur.
D’abord, des statistiques globales comprennent le temps d’entraî-
nement total et par jour, le nombre de jeux de cartes utilisés et
une liste des jeux de cartes les plus utilisés.
Il donne également accès à des statistiques par paquet de cartes.
Celles-ci reprennent le nombre de sessions d’études réalisées sur
ce jeu et un indice de maîtrise du paquet. Il permet également de
voir l’évolution de ces statistiques au fil des jours sous la forme d’un
diagramme d’évolution. Pour chaque paquet, il est possible de voir
les cartes triées en fonction de leur connaissance par l’utilisateur.</t>
        </r>
      </text>
    </comment>
    <comment ref="B11" authorId="0" shapeId="0" xr:uid="{00000000-0006-0000-0100-00000A000000}">
      <text>
        <r>
          <rPr>
            <sz val="10"/>
            <color rgb="FF000000"/>
            <rFont val="Arial"/>
            <scheme val="minor"/>
          </rPr>
          <t xml:space="preserve"> L’utilisateur peut se connecter à un serveur à l’aide d’un login et
d’un mot de passe. Ce serveur retient les jeux de cartes de l’utili-
sateur.</t>
        </r>
      </text>
    </comment>
    <comment ref="B12" authorId="0" shapeId="0" xr:uid="{00000000-0006-0000-0100-00000B000000}">
      <text>
        <r>
          <rPr>
            <sz val="10"/>
            <color rgb="FF000000"/>
            <rFont val="Arial"/>
            <scheme val="minor"/>
          </rPr>
          <t xml:space="preserve"> Lorsque l’utilisateur est connecté au serveur, il peut se rendre sur
un store où il peut publier des jeux de cartes et télécharger ceux
publiés par d’autres utilisateurs.</t>
        </r>
      </text>
    </comment>
    <comment ref="B13" authorId="0" shapeId="0" xr:uid="{00000000-0006-0000-0100-00000C000000}">
      <text>
        <r>
          <rPr>
            <sz val="10"/>
            <color rgb="FF000000"/>
            <rFont val="Arial"/>
            <scheme val="minor"/>
          </rPr>
          <t xml:space="preserve"> Pour chaque jeu, l’utilisateur peut enregistrer son score basé sur
sa connaissance des cartes et sur son temps de réponse. S’il le
souhaite, son score est ensuite mis en ligne.
L’utilisateur peut ensuite consulter un classement en ligne qui re-
cense les scores des joueurs pour chaque jeu de cartes.</t>
        </r>
      </text>
    </comment>
    <comment ref="B14" authorId="0" shapeId="0" xr:uid="{00000000-0006-0000-0100-00000D000000}">
      <text>
        <r>
          <rPr>
            <sz val="10"/>
            <color rgb="FF000000"/>
            <rFont val="Arial"/>
            <scheme val="minor"/>
          </rPr>
          <t xml:space="preserve"> L’utilisateur peut se connecter sur son compte à l’aide de son télé-
phone et effectuer ses révisions dessus.</t>
        </r>
      </text>
    </comment>
    <comment ref="B15" authorId="0" shapeId="0" xr:uid="{00000000-0006-0000-0100-00000E000000}">
      <text>
        <r>
          <rPr>
            <sz val="10"/>
            <color rgb="FF000000"/>
            <rFont val="Arial"/>
            <scheme val="minor"/>
          </rPr>
          <t xml:space="preserve"> Comme certains utilisateurs ont une meilleure mémoire auditive
que visuelle, l’utilisateur doit pouvoir se faire dicter le contenu tex-
tuel d’une carte à l’aide d’une synthèse vocale.</t>
        </r>
      </text>
    </comment>
    <comment ref="B16" authorId="0" shapeId="0" xr:uid="{00000000-0006-0000-0100-00000F000000}">
      <text>
        <r>
          <rPr>
            <sz val="10"/>
            <color rgb="FF000000"/>
            <rFont val="Arial"/>
            <scheme val="minor"/>
          </rPr>
          <t>L’utilisateur peut exporter un jeu de cartes sous forme de fichier.
Ce fichier doit être ré-importable dans l’application.</t>
        </r>
      </text>
    </comment>
    <comment ref="B17" authorId="0" shapeId="0" xr:uid="{00000000-0006-0000-0100-000010000000}">
      <text>
        <r>
          <rPr>
            <sz val="10"/>
            <color rgb="FF000000"/>
            <rFont val="Arial"/>
            <scheme val="minor"/>
          </rPr>
          <t>Comme certains utilisateurs préfèrent les supports papiers, l’utili-
sateur doit pouvoir exporter ses jeux de cartes sous forme d’image
ou de PDF imprimable.</t>
        </r>
      </text>
    </comment>
    <comment ref="B18" authorId="0" shapeId="0" xr:uid="{00000000-0006-0000-0100-000011000000}">
      <text>
        <r>
          <rPr>
            <sz val="10"/>
            <color rgb="FF000000"/>
            <rFont val="Arial"/>
            <scheme val="minor"/>
          </rPr>
          <t>L’utilisateur peut écrire des cartes contenant du code LATEX et/ou
HTML qui est correctement interprété lors de la visualisation.</t>
        </r>
      </text>
    </comment>
    <comment ref="B19" authorId="0" shapeId="0" xr:uid="{00000000-0006-0000-0100-000012000000}">
      <text>
        <r>
          <rPr>
            <sz val="10"/>
            <color rgb="FF000000"/>
            <rFont val="Arial"/>
            <scheme val="minor"/>
          </rPr>
          <t xml:space="preserve"> Lorsqu’un utilisateur publie un jeu de cartes sur le store, il peut
spécifier des succès qui y sont propres. Un succès se caractérise
par un titre, une description et une progression. Des exemples de
succès propres aux jeux de cartes sont
— Top chrono : Répondre aux questions en un temps minimal
— Perfectionniste : Répondre correctement à toutes les ques-
tions d’un jeu
— ...
De plus, le store prévoit des succès génériques qui sont transversaux
à tous les jeux de cartes comme
— Un nouvel espoir : Mettre son premier score en ligne
— Question pour un Champion : Répondre correctement à
100 cartes différentes
— Petit producteur : Publier 5 jeux de cartes</t>
        </r>
      </text>
    </comment>
    <comment ref="B20" authorId="0" shapeId="0" xr:uid="{00000000-0006-0000-0100-000013000000}">
      <text>
        <r>
          <rPr>
            <sz val="10"/>
            <color rgb="FF000000"/>
            <rFont val="Arial"/>
            <scheme val="minor"/>
          </rPr>
          <t>L’utilisateur peut spécifier un objectif de révisions, par exemple en
nombre de révisions par semaine. L’application envoie des notifi-
cations en conséquence pour inciter l’utilisateur à réviser.</t>
        </r>
      </text>
    </comment>
    <comment ref="B21" authorId="0" shapeId="0" xr:uid="{00000000-0006-0000-0100-000014000000}">
      <text>
        <r>
          <rPr>
            <sz val="10"/>
            <color rgb="FF000000"/>
            <rFont val="Arial"/>
            <scheme val="minor"/>
          </rPr>
          <t>Après avoir reçu la question, l’utilisateur a le choix de :
— Donner une réponse librement
— Demander quatre options pour un choix multiple
— Demander deux options pour un choix multiple
Le score de l’utilisateur augmentera plus ou moins en fonction de
la difficulté choisie en cas de réponse correcte.</t>
        </r>
      </text>
    </comment>
    <comment ref="B22" authorId="0" shapeId="0" xr:uid="{00000000-0006-0000-0100-000015000000}">
      <text>
        <r>
          <rPr>
            <sz val="10"/>
            <color rgb="FF000000"/>
            <rFont val="Arial"/>
            <scheme val="minor"/>
          </rPr>
          <t xml:space="preserve"> Une même question peut avoir des paramètres aléatoires. Par
exemple une question demandant de calculer la somme de deux
nombres pourrait avoir deux nombres aléatoires comme opé-
randes. La réponse correcte sera dépendante de ces paramètres.
Il doit donc être possible de créer des formules lors de la création
de cartes qui seront évaluées lors de l’affichage de la carte.</t>
        </r>
      </text>
    </comment>
    <comment ref="B23" authorId="0" shapeId="0" xr:uid="{00000000-0006-0000-0100-000016000000}">
      <text>
        <r>
          <rPr>
            <sz val="10"/>
            <color rgb="FF000000"/>
            <rFont val="Arial"/>
            <scheme val="minor"/>
          </rPr>
          <t xml:space="preserve"> Plusieurs utilisateurs peuvent s’affronter dans un mode duel dans
lequel la même question est présentée aux joueurs. Chacun gagne
des points en fonction de sa performance.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E98" authorId="0" shapeId="0" xr:uid="{00000000-0006-0000-0300-000001000000}">
      <text>
        <r>
          <rPr>
            <sz val="10"/>
            <color rgb="FF000000"/>
            <rFont val="Arial"/>
            <scheme val="minor"/>
          </rPr>
          <t>Use the HTTPClient Java API from java.net.http</t>
        </r>
      </text>
    </comment>
    <comment ref="E127" authorId="0" shapeId="0" xr:uid="{00000000-0006-0000-0300-000002000000}">
      <text>
        <r>
          <rPr>
            <sz val="10"/>
            <color rgb="FF000000"/>
            <rFont val="Arial"/>
            <scheme val="minor"/>
          </rPr>
          <t>Use the Factory DP, this makes it easier to test the different services</t>
        </r>
      </text>
    </comment>
  </commentList>
</comments>
</file>

<file path=xl/sharedStrings.xml><?xml version="1.0" encoding="utf-8"?>
<sst xmlns="http://schemas.openxmlformats.org/spreadsheetml/2006/main" count="2215" uniqueCount="505">
  <si>
    <t>Story</t>
  </si>
  <si>
    <t>Title</t>
  </si>
  <si>
    <t>Note</t>
  </si>
  <si>
    <t>Priority</t>
  </si>
  <si>
    <t>Risk</t>
  </si>
  <si>
    <t>Estimate</t>
  </si>
  <si>
    <t>Actual</t>
  </si>
  <si>
    <t>Iteration</t>
  </si>
  <si>
    <t>Status</t>
  </si>
  <si>
    <t>GESTION DES COMPTES UTILISATEURS</t>
  </si>
  <si>
    <t>Done</t>
  </si>
  <si>
    <t>Refactor</t>
  </si>
  <si>
    <t>Total</t>
  </si>
  <si>
    <t>GESTION DES PAQUETS DE CARTES</t>
  </si>
  <si>
    <t>CREATION DE CARTES DANS UN PAQUET</t>
  </si>
  <si>
    <t>ETUDIER UN JEU DE CARTES</t>
  </si>
  <si>
    <t>METHODE DE TIRAGE</t>
  </si>
  <si>
    <t>Done in Story 6 ?</t>
  </si>
  <si>
    <t>MODES DE JEU</t>
  </si>
  <si>
    <t>QUESTIONS DE DIFFERENTS TYPES</t>
  </si>
  <si>
    <t>Skip</t>
  </si>
  <si>
    <t>REPONSES DE DIFFERENTS TYPES</t>
  </si>
  <si>
    <t>STATISTIQUES D’ENTRAINEMENT</t>
  </si>
  <si>
    <t>CONNEXION A UN SERVEUR</t>
  </si>
  <si>
    <t>Use a BaaS or DB in cloud</t>
  </si>
  <si>
    <t>STORE DE JEUX DE CARTES</t>
  </si>
  <si>
    <t>SCORE ET CLASSEMENT</t>
  </si>
  <si>
    <t>VERSION MOBILE</t>
  </si>
  <si>
    <t>To hard to complete in time</t>
  </si>
  <si>
    <t>LECTURE AUDIO</t>
  </si>
  <si>
    <t>IMPORT/EXPORT DE JEUX DE CARTES</t>
  </si>
  <si>
    <t>IMPRESSION DE JEUX DE CARTES</t>
  </si>
  <si>
    <t>LATEX ET HTML DANS LES CARTES</t>
  </si>
  <si>
    <t>SUCCES</t>
  </si>
  <si>
    <t>NOTIFICATIONS DE REVISION</t>
  </si>
  <si>
    <t>CARTES A CHOIX DE DIFFICULTE</t>
  </si>
  <si>
    <t>CARTES MODULABLES</t>
  </si>
  <si>
    <t>DUEL</t>
  </si>
  <si>
    <r>
      <rPr>
        <sz val="12"/>
        <color rgb="FFFFFFFF"/>
        <rFont val="Arial"/>
      </rPr>
      <t>Please enter your</t>
    </r>
    <r>
      <rPr>
        <b/>
        <sz val="12"/>
        <color rgb="FFFFFFFF"/>
        <rFont val="Arial"/>
      </rPr>
      <t xml:space="preserve"> tasks hours</t>
    </r>
    <r>
      <rPr>
        <sz val="12"/>
        <color rgb="FFFFFFFF"/>
        <rFont val="Arial"/>
      </rPr>
      <t xml:space="preserve"> here each time your work on a story task.
There </t>
    </r>
    <r>
      <rPr>
        <u/>
        <sz val="12"/>
        <color rgb="FFFFFFFF"/>
        <rFont val="Arial"/>
      </rPr>
      <t>can</t>
    </r>
    <r>
      <rPr>
        <sz val="12"/>
        <color rgb="FFFFFFFF"/>
        <rFont val="Arial"/>
      </rPr>
      <t xml:space="preserve"> be multiple entries for the same date and/or the same task. They will be then summed automatically in other sheets.
Please refer
- the task </t>
    </r>
    <r>
      <rPr>
        <b/>
        <sz val="12"/>
        <color rgb="FFFFFFFF"/>
        <rFont val="Arial"/>
      </rPr>
      <t>ID</t>
    </r>
    <r>
      <rPr>
        <sz val="12"/>
        <color rgb="FFFFFFFF"/>
        <rFont val="Arial"/>
      </rPr>
      <t xml:space="preserve"> (see Tasks sheet); the </t>
    </r>
    <r>
      <rPr>
        <b/>
        <sz val="12"/>
        <color rgb="FFFFFFFF"/>
        <rFont val="Arial"/>
      </rPr>
      <t xml:space="preserve">Story </t>
    </r>
    <r>
      <rPr>
        <sz val="12"/>
        <color rgb="FFFFFFFF"/>
        <rFont val="Arial"/>
      </rPr>
      <t xml:space="preserve">and the </t>
    </r>
    <r>
      <rPr>
        <b/>
        <sz val="12"/>
        <color rgb="FFFFFFFF"/>
        <rFont val="Arial"/>
      </rPr>
      <t xml:space="preserve">Title </t>
    </r>
    <r>
      <rPr>
        <sz val="12"/>
        <color rgb="FFFFFFFF"/>
        <rFont val="Arial"/>
      </rPr>
      <t xml:space="preserve">are updated automatically
- the current </t>
    </r>
    <r>
      <rPr>
        <b/>
        <sz val="12"/>
        <color rgb="FFFFFFFF"/>
        <rFont val="Arial"/>
      </rPr>
      <t>Iteration</t>
    </r>
    <r>
      <rPr>
        <sz val="12"/>
        <color rgb="FFFFFFFF"/>
        <rFont val="Arial"/>
      </rPr>
      <t xml:space="preserve">
- the </t>
    </r>
    <r>
      <rPr>
        <b/>
        <sz val="12"/>
        <color rgb="FFFFFFFF"/>
        <rFont val="Arial"/>
      </rPr>
      <t>Date</t>
    </r>
    <r>
      <rPr>
        <sz val="12"/>
        <color rgb="FFFFFFFF"/>
        <rFont val="Arial"/>
      </rPr>
      <t xml:space="preserve"> you worked on
- the </t>
    </r>
    <r>
      <rPr>
        <b/>
        <sz val="12"/>
        <color rgb="FFFFFFFF"/>
        <rFont val="Arial"/>
      </rPr>
      <t xml:space="preserve">Pilote </t>
    </r>
    <r>
      <rPr>
        <sz val="12"/>
        <color rgb="FFFFFFFF"/>
        <rFont val="Arial"/>
      </rPr>
      <t xml:space="preserve">and the </t>
    </r>
    <r>
      <rPr>
        <b/>
        <sz val="12"/>
        <color rgb="FFFFFFFF"/>
        <rFont val="Arial"/>
      </rPr>
      <t>Co-pilote</t>
    </r>
    <r>
      <rPr>
        <sz val="12"/>
        <color rgb="FFFFFFFF"/>
        <rFont val="Arial"/>
      </rPr>
      <t xml:space="preserve">
- the number of </t>
    </r>
    <r>
      <rPr>
        <b/>
        <sz val="12"/>
        <color rgb="FFFFFFFF"/>
        <rFont val="Arial"/>
      </rPr>
      <t>Hours</t>
    </r>
    <r>
      <rPr>
        <sz val="12"/>
        <color rgb="FFFFFFFF"/>
        <rFont val="Arial"/>
      </rPr>
      <t xml:space="preserve"> worked
These real hours are reflected automatically in </t>
    </r>
    <r>
      <rPr>
        <b/>
        <sz val="12"/>
        <color rgb="FFFFFFFF"/>
        <rFont val="Arial"/>
      </rPr>
      <t>Calendar</t>
    </r>
    <r>
      <rPr>
        <sz val="12"/>
        <color rgb="FFFFFFFF"/>
        <rFont val="Arial"/>
      </rPr>
      <t xml:space="preserve"> and in </t>
    </r>
    <r>
      <rPr>
        <b/>
        <sz val="12"/>
        <color rgb="FFFFFFFF"/>
        <rFont val="Arial"/>
      </rPr>
      <t>Tasks</t>
    </r>
    <r>
      <rPr>
        <sz val="12"/>
        <color rgb="FFFFFFFF"/>
        <rFont val="Arial"/>
      </rPr>
      <t xml:space="preserve">.
</t>
    </r>
    <r>
      <rPr>
        <b/>
        <sz val="12"/>
        <color rgb="FFFFFFFF"/>
        <rFont val="Arial"/>
      </rPr>
      <t xml:space="preserve">Calendar </t>
    </r>
    <r>
      <rPr>
        <sz val="12"/>
        <color rgb="FFFFFFFF"/>
        <rFont val="Arial"/>
      </rPr>
      <t xml:space="preserve">should </t>
    </r>
    <r>
      <rPr>
        <u/>
        <sz val="12"/>
        <color rgb="FFFFFFFF"/>
        <rFont val="Arial"/>
      </rPr>
      <t>not</t>
    </r>
    <r>
      <rPr>
        <sz val="12"/>
        <color rgb="FFFFFFFF"/>
        <rFont val="Arial"/>
      </rPr>
      <t xml:space="preserve"> be modified.
</t>
    </r>
    <r>
      <rPr>
        <b/>
        <sz val="12"/>
        <color rgb="FFFFFFFF"/>
        <rFont val="Arial"/>
      </rPr>
      <t>Tasks</t>
    </r>
    <r>
      <rPr>
        <sz val="12"/>
        <color rgb="FFFFFFFF"/>
        <rFont val="Arial"/>
      </rPr>
      <t xml:space="preserve"> should only be modified when adding a new task or modifying an existing one.</t>
    </r>
  </si>
  <si>
    <t>ID</t>
  </si>
  <si>
    <t>Date</t>
  </si>
  <si>
    <t>Pilote</t>
  </si>
  <si>
    <t>Co-Pilote</t>
  </si>
  <si>
    <t>Hours</t>
  </si>
  <si>
    <t>C2-3</t>
  </si>
  <si>
    <t>Antoine</t>
  </si>
  <si>
    <t>Elliot</t>
  </si>
  <si>
    <t>C2-14</t>
  </si>
  <si>
    <t>D3-1</t>
  </si>
  <si>
    <t>Luca</t>
  </si>
  <si>
    <t>D3-2</t>
  </si>
  <si>
    <t>D2-3</t>
  </si>
  <si>
    <t>Francesco</t>
  </si>
  <si>
    <t>Dave</t>
  </si>
  <si>
    <t>D2-1</t>
  </si>
  <si>
    <t>D2-2</t>
  </si>
  <si>
    <t>Ismael</t>
  </si>
  <si>
    <t>D4-1</t>
  </si>
  <si>
    <t>C4-1</t>
  </si>
  <si>
    <t>Emile</t>
  </si>
  <si>
    <t>C2-2</t>
  </si>
  <si>
    <t>C2-4</t>
  </si>
  <si>
    <t>C2-10</t>
  </si>
  <si>
    <t>Théo</t>
  </si>
  <si>
    <t>C2-5</t>
  </si>
  <si>
    <t>C2-1</t>
  </si>
  <si>
    <t>Anton</t>
  </si>
  <si>
    <t>D5-1</t>
  </si>
  <si>
    <t>D5-2</t>
  </si>
  <si>
    <t>C6-1</t>
  </si>
  <si>
    <t>Ben David</t>
  </si>
  <si>
    <t>C6-2</t>
  </si>
  <si>
    <t>C2-15</t>
  </si>
  <si>
    <t>C2-16</t>
  </si>
  <si>
    <t>C2-6</t>
  </si>
  <si>
    <t>C2-7</t>
  </si>
  <si>
    <t>C2-8</t>
  </si>
  <si>
    <t>C2-9</t>
  </si>
  <si>
    <t>C2-18</t>
  </si>
  <si>
    <t>C2-20</t>
  </si>
  <si>
    <t>C6-4</t>
  </si>
  <si>
    <t>C2-21</t>
  </si>
  <si>
    <t>C2-22</t>
  </si>
  <si>
    <t>C2</t>
  </si>
  <si>
    <t>DeckList(FXML): text wrapping for DeckList/Profile view</t>
  </si>
  <si>
    <t>C2-23</t>
  </si>
  <si>
    <t>C2-26</t>
  </si>
  <si>
    <t>C2-11</t>
  </si>
  <si>
    <t>C6-6</t>
  </si>
  <si>
    <t>D6-1</t>
  </si>
  <si>
    <t>D5-3</t>
  </si>
  <si>
    <t>C4-2</t>
  </si>
  <si>
    <t>C2-27</t>
  </si>
  <si>
    <t>C6-3</t>
  </si>
  <si>
    <t>C4-4</t>
  </si>
  <si>
    <t>C2-13</t>
  </si>
  <si>
    <t>D1-1</t>
  </si>
  <si>
    <t>C2-19</t>
  </si>
  <si>
    <t>C6-5</t>
  </si>
  <si>
    <t>C2-12</t>
  </si>
  <si>
    <t>C2-28</t>
  </si>
  <si>
    <t>C2-29</t>
  </si>
  <si>
    <t>D7-1</t>
  </si>
  <si>
    <t>D7-12</t>
  </si>
  <si>
    <t>C10-1</t>
  </si>
  <si>
    <t>C15-2</t>
  </si>
  <si>
    <t>C15-1</t>
  </si>
  <si>
    <t>D7-10</t>
  </si>
  <si>
    <t>C10-2</t>
  </si>
  <si>
    <t>C10-3</t>
  </si>
  <si>
    <t>C16-1</t>
  </si>
  <si>
    <t>C16-2</t>
  </si>
  <si>
    <t>C17-2</t>
  </si>
  <si>
    <t>C10-8</t>
  </si>
  <si>
    <t>C16-3</t>
  </si>
  <si>
    <t>C16-5</t>
  </si>
  <si>
    <t>C17-3</t>
  </si>
  <si>
    <t>C10-9</t>
  </si>
  <si>
    <t>C17-4</t>
  </si>
  <si>
    <t>D7-11-1</t>
  </si>
  <si>
    <t>C10-5</t>
  </si>
  <si>
    <t>D7-13</t>
  </si>
  <si>
    <t>D7-11</t>
  </si>
  <si>
    <t>D7-7</t>
  </si>
  <si>
    <t>C17-9</t>
  </si>
  <si>
    <t>C10-4</t>
  </si>
  <si>
    <t>C10-7</t>
  </si>
  <si>
    <t>C10-6</t>
  </si>
  <si>
    <t>C16-4</t>
  </si>
  <si>
    <t>C17-5</t>
  </si>
  <si>
    <t>C17-7</t>
  </si>
  <si>
    <t>C17-6</t>
  </si>
  <si>
    <t>C17-11</t>
  </si>
  <si>
    <t>C17-8</t>
  </si>
  <si>
    <t>C10-11</t>
  </si>
  <si>
    <t>C10-10</t>
  </si>
  <si>
    <t>C10-13</t>
  </si>
  <si>
    <t>D7-15</t>
  </si>
  <si>
    <t>C10-15</t>
  </si>
  <si>
    <t>C10-16</t>
  </si>
  <si>
    <t>C15-3</t>
  </si>
  <si>
    <t>D7-17</t>
  </si>
  <si>
    <t>D7-18</t>
  </si>
  <si>
    <t>C17-12</t>
  </si>
  <si>
    <t>D7-14</t>
  </si>
  <si>
    <t>D7-19</t>
  </si>
  <si>
    <t>D8-001</t>
  </si>
  <si>
    <t>C11-003</t>
  </si>
  <si>
    <t>C11-001</t>
  </si>
  <si>
    <t>C9-004</t>
  </si>
  <si>
    <t>C8-003</t>
  </si>
  <si>
    <t>C9-002</t>
  </si>
  <si>
    <t>C9-001</t>
  </si>
  <si>
    <t>C8-002</t>
  </si>
  <si>
    <t>C8-004</t>
  </si>
  <si>
    <t>C11-004</t>
  </si>
  <si>
    <t>C14-002</t>
  </si>
  <si>
    <t>D8-006</t>
  </si>
  <si>
    <t>C11-005</t>
  </si>
  <si>
    <t>D8-008</t>
  </si>
  <si>
    <t>C11-006</t>
  </si>
  <si>
    <t>C11-008</t>
  </si>
  <si>
    <t>C11-007</t>
  </si>
  <si>
    <t>D8-009</t>
  </si>
  <si>
    <t>C14-001</t>
  </si>
  <si>
    <t>C11-009</t>
  </si>
  <si>
    <t>D8-014</t>
  </si>
  <si>
    <t>D8-017</t>
  </si>
  <si>
    <t>D8-015</t>
  </si>
  <si>
    <t>D8-018</t>
  </si>
  <si>
    <t>D8-020</t>
  </si>
  <si>
    <t>D8-021</t>
  </si>
  <si>
    <t>D8-007</t>
  </si>
  <si>
    <t>D8-019</t>
  </si>
  <si>
    <t>D8-022</t>
  </si>
  <si>
    <t>D8-016</t>
  </si>
  <si>
    <t>D8-025</t>
  </si>
  <si>
    <t>D8-026</t>
  </si>
  <si>
    <t>D8-003</t>
  </si>
  <si>
    <t>D8-004</t>
  </si>
  <si>
    <t>D8-011</t>
  </si>
  <si>
    <t>D8-027</t>
  </si>
  <si>
    <t>D8-030</t>
  </si>
  <si>
    <t>D8-029</t>
  </si>
  <si>
    <t>D8-028</t>
  </si>
  <si>
    <t>D8-013</t>
  </si>
  <si>
    <t>D8-032</t>
  </si>
  <si>
    <t>D8-037</t>
  </si>
  <si>
    <t>D8-010</t>
  </si>
  <si>
    <t>D8-040</t>
  </si>
  <si>
    <t>D8-031</t>
  </si>
  <si>
    <t>D8-034</t>
  </si>
  <si>
    <t>D8-035</t>
  </si>
  <si>
    <t>D8-033</t>
  </si>
  <si>
    <r>
      <rPr>
        <b/>
        <sz val="10"/>
        <color rgb="FFFFFFFF"/>
        <rFont val="Arial"/>
      </rPr>
      <t>C</t>
    </r>
    <r>
      <rPr>
        <sz val="10"/>
        <color rgb="FFFFFFFF"/>
        <rFont val="Arial"/>
      </rPr>
      <t xml:space="preserve"> stories are Customer Stories
</t>
    </r>
    <r>
      <rPr>
        <b/>
        <sz val="10"/>
        <color rgb="FFFFFFFF"/>
        <rFont val="Arial"/>
      </rPr>
      <t>D</t>
    </r>
    <r>
      <rPr>
        <sz val="10"/>
        <color rgb="FFFFFFFF"/>
        <rFont val="Arial"/>
      </rPr>
      <t xml:space="preserve"> stories are Developer Stories</t>
    </r>
  </si>
  <si>
    <t>Task</t>
  </si>
  <si>
    <t>Real</t>
  </si>
  <si>
    <t>Deadline</t>
  </si>
  <si>
    <t>Notes</t>
  </si>
  <si>
    <t>C1-1</t>
  </si>
  <si>
    <t>C1</t>
  </si>
  <si>
    <t>Mise en place Maven front-end</t>
  </si>
  <si>
    <t>C1-2</t>
  </si>
  <si>
    <t>Mise en place font custom</t>
  </si>
  <si>
    <t>C1-3</t>
  </si>
  <si>
    <t>Mise en place classes principales</t>
  </si>
  <si>
    <t>C1-4</t>
  </si>
  <si>
    <t>Création d’un component pour le layout</t>
  </si>
  <si>
    <t>C1-5</t>
  </si>
  <si>
    <t>Création styles de base</t>
  </si>
  <si>
    <t>C1-6</t>
  </si>
  <si>
    <t>Création vue profil</t>
  </si>
  <si>
    <t>C1-7</t>
  </si>
  <si>
    <t>Création de la vue settings</t>
  </si>
  <si>
    <t>C1-8</t>
  </si>
  <si>
    <t>Style vue profil</t>
  </si>
  <si>
    <t>C1-9</t>
  </si>
  <si>
    <t>Style vue settings</t>
  </si>
  <si>
    <t>C1-10</t>
  </si>
  <si>
    <t>Liaisons avec les vues Login et Signup</t>
  </si>
  <si>
    <t>C1-11</t>
  </si>
  <si>
    <t>Génération dynamique d’éléments UI dans profil et settings</t>
  </si>
  <si>
    <t>C1-12</t>
  </si>
  <si>
    <t>Documentation Javadoc</t>
  </si>
  <si>
    <t>C1-13</t>
  </si>
  <si>
    <t>Intégration login/signup – profil/settings – deck view</t>
  </si>
  <si>
    <t>C1-14</t>
  </si>
  <si>
    <t>Mise en place Maven back-end</t>
  </si>
  <si>
    <t>C1-15</t>
  </si>
  <si>
    <t>Mise en place ORM lite</t>
  </si>
  <si>
    <t>C1-16</t>
  </si>
  <si>
    <t>Création tables User et tests</t>
  </si>
  <si>
    <t>C1-17</t>
  </si>
  <si>
    <t>Création UserDatabase et tests</t>
  </si>
  <si>
    <t>C1-18</t>
  </si>
  <si>
    <t>Implémentation algo hash et tests</t>
  </si>
  <si>
    <t>C1-19</t>
  </si>
  <si>
    <t>Liaison avec les vues login/sign up</t>
  </si>
  <si>
    <t>C1-20</t>
  </si>
  <si>
    <t>Installation et configuration de JavaFX, Maven et Scene-Builder</t>
  </si>
  <si>
    <t>C1-21</t>
  </si>
  <si>
    <t>Ajout des dépendances Maven pour JavaFX et JFoenix dans le pom.xml</t>
  </si>
  <si>
    <t>C1-22</t>
  </si>
  <si>
    <t>Création du fxml pour le SignIn view</t>
  </si>
  <si>
    <t>C1-23</t>
  </si>
  <si>
    <t>Création du fxml pour le SignUp view</t>
  </si>
  <si>
    <t>C1-24</t>
  </si>
  <si>
    <t>Création des contrôleurs pour chaque vue pour gérer les interactions avec l’utilisateur</t>
  </si>
  <si>
    <t>C1-25</t>
  </si>
  <si>
    <t>Implémentation de la logique d'authentification dans les contrôleurs en utilisant les API JavaFX et JFoenix pour les éléments graphiques</t>
  </si>
  <si>
    <t>C1-26</t>
  </si>
  <si>
    <t>Liaison des vues d’authentification avec le modèle</t>
  </si>
  <si>
    <t>C1-27</t>
  </si>
  <si>
    <t>Refactoring</t>
  </si>
  <si>
    <t>C1-28</t>
  </si>
  <si>
    <t>Gestion des erreurs liées aux dépendances et aux conflits</t>
  </si>
  <si>
    <t>C3-1</t>
  </si>
  <si>
    <t>C3</t>
  </si>
  <si>
    <t>Création vue Deck edit</t>
  </si>
  <si>
    <t>C3-2</t>
  </si>
  <si>
    <t>C3-3</t>
  </si>
  <si>
    <t>Tests unitaires deck et card</t>
  </si>
  <si>
    <t>C3-4</t>
  </si>
  <si>
    <t>Refactor global</t>
  </si>
  <si>
    <t>C3-5</t>
  </si>
  <si>
    <t>Création classe vue</t>
  </si>
  <si>
    <t>C3-6</t>
  </si>
  <si>
    <t>Création controller de la vue deck edit</t>
  </si>
  <si>
    <t>C3-7</t>
  </si>
  <si>
    <t>Liaison entre les deux controllers de DeckView</t>
  </si>
  <si>
    <t>C3-8</t>
  </si>
  <si>
    <t>Création des classes modèles</t>
  </si>
  <si>
    <t>C3-9</t>
  </si>
  <si>
    <t>Refactor code pour lier la vue et le controlleur</t>
  </si>
  <si>
    <t>C3-10</t>
  </si>
  <si>
    <t>Liaison avec la deck view</t>
  </si>
  <si>
    <t>C3-11</t>
  </si>
  <si>
    <t>Création de tests pour les classes modèles</t>
  </si>
  <si>
    <t>DB: Create Deck &amp; Card model in database (CRUD)</t>
  </si>
  <si>
    <t>EditDeck (FXML): Create global title and edit buttons</t>
  </si>
  <si>
    <t>EditDeck (FXML): Create deck list table</t>
  </si>
  <si>
    <t>EditDeck (DeckEditController): Load fake deck cards dynamically in list</t>
  </si>
  <si>
    <t>To be linked with database</t>
  </si>
  <si>
    <t>EditDeck(FXML): Edit button popup to edit question and answer</t>
  </si>
  <si>
    <t>EditDeck(DeckEditController): Edit button logic to edit question and answer in popup</t>
  </si>
  <si>
    <t>EditDeck(FXML): Delete button to delete question</t>
  </si>
  <si>
    <t>EditDeck(DeckEditController): Delete button logic to delete question</t>
  </si>
  <si>
    <t>EditDeck(DeckEditController) : Edit deck properties logic (title, category)</t>
  </si>
  <si>
    <t>Deck List: Deck creation &amp; deletion from the view</t>
  </si>
  <si>
    <t>Deck List: Load decks from the database in the view</t>
  </si>
  <si>
    <t>Deck List: Filter deck by category/theme</t>
  </si>
  <si>
    <t>DeckList (FXML): Delete button warning popup to delete deck &amp; card</t>
  </si>
  <si>
    <t>DeckList (ProfileController): Pass deck ID from profile view to deckEdit view when pushing edit btn</t>
  </si>
  <si>
    <t>See node.getScene().getWindow() and stage.setUserData()</t>
  </si>
  <si>
    <t>EditDeck(FXML): Add card popup</t>
  </si>
  <si>
    <t>EditDeck(FXML): edit title and category popups</t>
  </si>
  <si>
    <t>EditDeck(FXML): make vboxes question/answer for cards</t>
  </si>
  <si>
    <t>EditDeck(docs): make docstrings and comments for all classes</t>
  </si>
  <si>
    <t>EditDeck(FXML): Add scrolling in edit deck view</t>
  </si>
  <si>
    <t>DeckList(FXML): Add scrolling in DeckList/Profile/settings view</t>
  </si>
  <si>
    <t>EditDeck(FXML): add category in view</t>
  </si>
  <si>
    <t>C2-25</t>
  </si>
  <si>
    <t>EditDeck(FXML): warning popup before deleting card</t>
  </si>
  <si>
    <t>Fix(Database): Tables are created only when calling getInstance()</t>
  </si>
  <si>
    <t>DB: Create interface between controller &amp; database for managing decks &amp; cards</t>
  </si>
  <si>
    <t>Refactor(Database): Remove the perfomanceType entity (replace with simple integer)</t>
  </si>
  <si>
    <t>Fix(Database): Fixed issue in test caused by database, refactor database</t>
  </si>
  <si>
    <t>C4</t>
  </si>
  <si>
    <t>Study: Refactor the editDeck view into the static Study view (FlashCard view)</t>
  </si>
  <si>
    <t>Study: Load cards from database into Study view</t>
  </si>
  <si>
    <t>Study: Add text wrapping in Study view for answer &amp; question</t>
  </si>
  <si>
    <t>C6</t>
  </si>
  <si>
    <t>Study Mode: Implement the "Review" study mode</t>
  </si>
  <si>
    <t>Study Mode: Implement the "Free" study mode</t>
  </si>
  <si>
    <t>Study Mode: Create a controller for "Review" Mode</t>
  </si>
  <si>
    <t>Study Mode: Implements the tests</t>
  </si>
  <si>
    <t>Study Mode: Refactor Sutdy views and handle exceptions</t>
  </si>
  <si>
    <t>Study Mode: create a view for "Free" study mode</t>
  </si>
  <si>
    <t>D1</t>
  </si>
  <si>
    <t>CI/CD: Create a CI/CD action to test, check format &amp; build</t>
  </si>
  <si>
    <t>D2</t>
  </si>
  <si>
    <t>Refactor: Split the SignIn &amp; SignUp controller</t>
  </si>
  <si>
    <t>Refactor: Split the Profile &amp; Settings Controller</t>
  </si>
  <si>
    <t>Refactor: Fix layout for the SignIn &amp; SignUp view</t>
  </si>
  <si>
    <t>D3</t>
  </si>
  <si>
    <t>Tracking: task excel on google sheets</t>
  </si>
  <si>
    <t>Tracking: Burndown Chart</t>
  </si>
  <si>
    <t>D4</t>
  </si>
  <si>
    <r>
      <rPr>
        <sz val="10"/>
        <color theme="1"/>
        <rFont val="Arial"/>
      </rPr>
      <t xml:space="preserve">Docs: refaire le </t>
    </r>
    <r>
      <rPr>
        <sz val="10"/>
        <color rgb="FF000000"/>
        <rFont val="Arial"/>
      </rPr>
      <t>README.md</t>
    </r>
  </si>
  <si>
    <t>D5</t>
  </si>
  <si>
    <t>Refactor: navigation manager design</t>
  </si>
  <si>
    <t>Refactor: navigation manager implementation</t>
  </si>
  <si>
    <t>Feat: Add params in navigation</t>
  </si>
  <si>
    <t>D6</t>
  </si>
  <si>
    <t>Refactor: handling all runtime errors in code; replace signature errors in try/catch blocks</t>
  </si>
  <si>
    <t>We don't know how to handle database errors, need help</t>
  </si>
  <si>
    <t>C10</t>
  </si>
  <si>
    <t>Server: Setup Django App with Docker Compose (Initial Setup) + Architecture</t>
  </si>
  <si>
    <t>Server: Add API for Sign Up (create an account) + edit password</t>
  </si>
  <si>
    <t>Server: Bug fixes and tags server side</t>
  </si>
  <si>
    <t>Refactor services</t>
  </si>
  <si>
    <t>Server tags deletion</t>
  </si>
  <si>
    <t>Server: ORM Models in Django + Admin Interface</t>
  </si>
  <si>
    <t>Server: Serializers and Deserializers (JSON)</t>
  </si>
  <si>
    <t>Server: Deployment (on Cloud) + DNS</t>
  </si>
  <si>
    <t>Server: Generate Swagger docs</t>
  </si>
  <si>
    <t>Client: Refactor services (Call HTTP API)</t>
  </si>
  <si>
    <t>Client: Refactor services (Call HTTP API) with swapped pilot-copilot</t>
  </si>
  <si>
    <t>Finish setting up docker and django</t>
  </si>
  <si>
    <t>Finish api (tests + security)</t>
  </si>
  <si>
    <t>C15</t>
  </si>
  <si>
    <t>FXML: Add dropdown buttons on the UI to Export/Import JSON on the ProfileView + File Browser + PDF</t>
  </si>
  <si>
    <t>Export/import: Serialize/Deserialize deck (JSON) and export to file (or create deck)</t>
  </si>
  <si>
    <t>Export/Import: Rewrite tests</t>
  </si>
  <si>
    <t>C16</t>
  </si>
  <si>
    <t>FXML: Add buttons on the UI to download PDF (Add option in Export ?)</t>
  </si>
  <si>
    <t>PDF: Add logic to download PDF</t>
  </si>
  <si>
    <t>PDF: Format PDF</t>
  </si>
  <si>
    <t>PDF: format A6 for cards</t>
  </si>
  <si>
    <t xml:space="preserve">PDF: Add popup when a deck is downloaded </t>
  </si>
  <si>
    <t>C17</t>
  </si>
  <si>
    <t>FXML + Client + Refactor: Refactor HTML, LaTeX, plain text into learning mode</t>
  </si>
  <si>
    <t>Client: Parse LaTeX</t>
  </si>
  <si>
    <t>Client: Parse HTML</t>
  </si>
  <si>
    <t>FXML: Create a radio button when inputting card to let the user decide what kind of input he wants</t>
  </si>
  <si>
    <t>FXML:: Create a webView when studying HTML</t>
  </si>
  <si>
    <t>Django DB: Add question type and answer type to database</t>
  </si>
  <si>
    <t>FXML + Client: Add latexView in editDeck</t>
  </si>
  <si>
    <t>FXML + Client: Add latexView in learningMode</t>
  </si>
  <si>
    <t>FXML + Client: Add HTMLView in editDeck</t>
  </si>
  <si>
    <t>D7</t>
  </si>
  <si>
    <t>Refactor: fix refresh list when adding new decks with unknown tag</t>
  </si>
  <si>
    <t>Refactor: Manage the navigation in a different way (controller should choose to change view!)</t>
  </si>
  <si>
    <t>FXML: Popups should be styled the same as the rest of the application</t>
  </si>
  <si>
    <t>FXML: Empty EditCardView : Question/Answer is empty | CreateDeck : Deckname/Tag is empty--&gt; Add Popup</t>
  </si>
  <si>
    <t>MVC: Refactor the view controllers and controllers to respect the MVC patterns</t>
  </si>
  <si>
    <t>ci: refactor CI/CD + build Django docker image</t>
  </si>
  <si>
    <t>CreateCard: add length limit to size of question and answer (e.g. max 250 chars per question or per answer)</t>
  </si>
  <si>
    <t>Refactor + FXML + Client: Fix Review Mode</t>
  </si>
  <si>
    <t>Service: Create a UserService with DTOs + Refactor</t>
  </si>
  <si>
    <t>fix tags in UI + refactor</t>
  </si>
  <si>
    <t>API Client bug fixes</t>
  </si>
  <si>
    <t>Refactor error handling</t>
  </si>
  <si>
    <t>Bug: fix the json deck exporter file chooser not working properly</t>
  </si>
  <si>
    <t>Refactor + client + server: Make card use card type and not be statically bound</t>
  </si>
  <si>
    <t>Refactor: Profile view add deck mth</t>
  </si>
  <si>
    <t>C11</t>
  </si>
  <si>
    <t>Database: Review Database model for the store + API</t>
  </si>
  <si>
    <t>FXML: Add View for store + ViewController</t>
  </si>
  <si>
    <t>FXML: add carousel for most popular decks</t>
  </si>
  <si>
    <t>FXML: show all decks on the store</t>
  </si>
  <si>
    <t>StoreDeckService: api call for popular and all decks</t>
  </si>
  <si>
    <t>StoreDeckService: download storedeck api call</t>
  </si>
  <si>
    <t>StoreDeckService : share deck api call</t>
  </si>
  <si>
    <t>StoreDeckService: search for deck in catalog</t>
  </si>
  <si>
    <t>C11-010</t>
  </si>
  <si>
    <t>ProfileView: popup to confirm sharing the deck</t>
  </si>
  <si>
    <t>C11-011</t>
  </si>
  <si>
    <t>StoreDeckView: popup to confirm that the deck has been downloaded</t>
  </si>
  <si>
    <t>C14</t>
  </si>
  <si>
    <t>FXML: Add button with Speaker Icon in learning modes</t>
  </si>
  <si>
    <t>FXML: Add logic to dictate answer OR question in Controller</t>
  </si>
  <si>
    <t>Need other tasks to be completed before starting this one!</t>
  </si>
  <si>
    <t>C8</t>
  </si>
  <si>
    <t>FXML: Question Type and Answer Type should be in the card dialog</t>
  </si>
  <si>
    <t>FXML: Handle different card type in all learning mode</t>
  </si>
  <si>
    <t>Model: Handle different card type in Cards</t>
  </si>
  <si>
    <t>C9</t>
  </si>
  <si>
    <t>Database: Model for statistics + Django API</t>
  </si>
  <si>
    <t>Service: Create a Service for the Statistics API</t>
  </si>
  <si>
    <t xml:space="preserve">FXML: Add menu for GLOBAL stats (between Home and Settings) </t>
  </si>
  <si>
    <t>D8</t>
  </si>
  <si>
    <t>Fix: Fix issue in import/export</t>
  </si>
  <si>
    <t>Tests:  tests for userService</t>
  </si>
  <si>
    <t>Tests: Configure Mockito + tests for tagService</t>
  </si>
  <si>
    <t>D8-005</t>
  </si>
  <si>
    <t>Tests: Write/Update Tests for existing services</t>
  </si>
  <si>
    <t>FXML: Add help button in modes and edit card dialog to show how to format questions</t>
  </si>
  <si>
    <t>DP: Use the Visitor Design Pattern to handle different modes</t>
  </si>
  <si>
    <t>Cache: Cache decks and make it not make it a request everytime</t>
  </si>
  <si>
    <t>Refactor: Use SonarLint to refactor code</t>
  </si>
  <si>
    <t>Thread: Make PDF use a thread to not block the execution of the app</t>
  </si>
  <si>
    <t>PDF: Make PDF download choose location to save</t>
  </si>
  <si>
    <t>Refactor: Remove calculation logic outside of model</t>
  </si>
  <si>
    <t>Refactor: Create custom component for Deck in ProfileDeckViewController</t>
  </si>
  <si>
    <t>Refactor: Create custom component for Card in EditDeckViewController</t>
  </si>
  <si>
    <t>Refactor: Create custom component for Deck in StoreDeckViewController - Spotlight</t>
  </si>
  <si>
    <t>Refactor: Create custom component for Deck in StoreDeckViewController - Populars</t>
  </si>
  <si>
    <t>Refactor: Add method for TextInputDialog</t>
  </si>
  <si>
    <t>Refactor: Fix issues with Docker + add persistent volume for Postgres Database</t>
  </si>
  <si>
    <t>Refactor: Add method in AbstractViewController to open FileBrowser</t>
  </si>
  <si>
    <t>Feature: progress indicator for API calls</t>
  </si>
  <si>
    <t>D8-024</t>
  </si>
  <si>
    <t>Refactor: Create different card components for edit and learning code + refactor code out of models</t>
  </si>
  <si>
    <t>Refactor: D8-024 with different pilots</t>
  </si>
  <si>
    <t>Refactor: Remove card and replace it with abstract card and replace instantiation in services with parsers</t>
  </si>
  <si>
    <t xml:space="preserve">Code: General code refactor </t>
  </si>
  <si>
    <t>FXML + Client: Make user not go to review mode if deck is empty</t>
  </si>
  <si>
    <t>Learning Mode: check all learning views and controllers (add docstrings, remove fixme, remove controls in view)</t>
  </si>
  <si>
    <t xml:space="preserve">Tests: tests model for all modes </t>
  </si>
  <si>
    <t>Text to speech: remove static methods</t>
  </si>
  <si>
    <t>Javadoc</t>
  </si>
  <si>
    <t>Demo</t>
  </si>
  <si>
    <t>Fix old Jar files</t>
  </si>
  <si>
    <t>Refactor: EditCardDialog</t>
  </si>
  <si>
    <t>Test parsers</t>
  </si>
  <si>
    <t xml:space="preserve">handle cloze based text card on edit Deck view </t>
  </si>
  <si>
    <t>Backlog</t>
  </si>
  <si>
    <t>Progress</t>
  </si>
  <si>
    <t>Estimated Total</t>
  </si>
  <si>
    <t>Iteration 2 (Week 1)</t>
  </si>
  <si>
    <t>Iteration 2 (Week 2)</t>
  </si>
  <si>
    <t>Iteration 2 (Week 3)</t>
  </si>
  <si>
    <t>Estimate/Iteration</t>
  </si>
  <si>
    <t>Total/Iteration</t>
  </si>
  <si>
    <t>Iteration 2 has no Week 3</t>
  </si>
  <si>
    <t>Members</t>
  </si>
  <si>
    <t>P</t>
  </si>
  <si>
    <t>COP</t>
  </si>
  <si>
    <t>Totals</t>
  </si>
  <si>
    <t>Iteration 3 (Week 1)</t>
  </si>
  <si>
    <t>Iteration 3 (Week 2)</t>
  </si>
  <si>
    <t>Iteration 3 (Week 3)</t>
  </si>
  <si>
    <t>Iteration 3 has no Week 3</t>
  </si>
  <si>
    <t>Iteration 4 (Week 1)</t>
  </si>
  <si>
    <t>Iteration 4 (Week 2)</t>
  </si>
  <si>
    <t>Iteration 4 (Week 3)</t>
  </si>
  <si>
    <t>C5</t>
  </si>
  <si>
    <t>C7</t>
  </si>
  <si>
    <t>C12</t>
  </si>
  <si>
    <t>C13</t>
  </si>
  <si>
    <t>C18</t>
  </si>
  <si>
    <t>C19</t>
  </si>
  <si>
    <t>C20</t>
  </si>
  <si>
    <t>C21</t>
  </si>
  <si>
    <t>C22</t>
  </si>
  <si>
    <t xml:space="preserve">SUM of </t>
  </si>
  <si>
    <t>Jour</t>
  </si>
  <si>
    <t>J</t>
  </si>
  <si>
    <t>Ideal</t>
  </si>
  <si>
    <t>Reel</t>
  </si>
  <si>
    <t>C1 Total</t>
  </si>
  <si>
    <t>C3 Total</t>
  </si>
  <si>
    <t>Grand Total</t>
  </si>
  <si>
    <t>C2 Total</t>
  </si>
  <si>
    <t>C4 Total</t>
  </si>
  <si>
    <t>C6 Total</t>
  </si>
  <si>
    <t>D1 Total</t>
  </si>
  <si>
    <t>D2 Total</t>
  </si>
  <si>
    <t>D3 Total</t>
  </si>
  <si>
    <t>Docs: refaire le README.md</t>
  </si>
  <si>
    <t>D4 Total</t>
  </si>
  <si>
    <t>D5 Total</t>
  </si>
  <si>
    <t>D6 Total</t>
  </si>
  <si>
    <t xml:space="preserve"> </t>
  </si>
  <si>
    <t>C10 Total</t>
  </si>
  <si>
    <t>C15 Total</t>
  </si>
  <si>
    <t>C16 Total</t>
  </si>
  <si>
    <t>C17 Total</t>
  </si>
  <si>
    <t>D7 Total</t>
  </si>
  <si>
    <t>C11 Total</t>
  </si>
  <si>
    <t>C14 Total</t>
  </si>
  <si>
    <t>C8 Total</t>
  </si>
  <si>
    <t>C9 Total</t>
  </si>
  <si>
    <t>D8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</si>
</sst>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
  </numFmts>
  <fonts count="21">
    <font>
      <sz val="10"/>
      <color rgb="FF000000"/>
      <name val="Arial"/>
      <scheme val="minor"/>
    </font>
    <font>
      <sz val="10"/>
      <color theme="1"/>
      <name val="Arial"/>
      <scheme val="minor"/>
    </font>
    <font>
      <sz val="10"/>
      <color theme="1"/>
      <name val="Arial"/>
    </font>
    <font>
      <sz val="10"/>
      <color theme="1"/>
      <name val="Serif"/>
    </font>
    <font>
      <sz val="12"/>
      <color rgb="FFFFFFFF"/>
      <name val="Arial"/>
      <scheme val="minor"/>
    </font>
    <font>
      <sz val="10"/>
      <name val="Arial"/>
    </font>
    <font>
      <b/>
      <sz val="10"/>
      <color theme="1"/>
      <name val="Arial"/>
      <scheme val="minor"/>
    </font>
    <font>
      <b/>
      <sz val="10"/>
      <color theme="1"/>
      <name val="Serif"/>
    </font>
    <font>
      <sz val="11"/>
      <color theme="1"/>
      <name val="Arial"/>
      <scheme val="minor"/>
    </font>
    <font>
      <sz val="10"/>
      <color rgb="FF000000"/>
      <name val="Arial"/>
    </font>
    <font>
      <sz val="10"/>
      <color rgb="FFFFFFFF"/>
      <name val="Arial"/>
      <scheme val="minor"/>
    </font>
    <font>
      <b/>
      <i/>
      <sz val="10"/>
      <color theme="1"/>
      <name val="Arial"/>
      <scheme val="minor"/>
    </font>
    <font>
      <i/>
      <sz val="10"/>
      <color theme="1"/>
      <name val="Arial"/>
      <scheme val="minor"/>
    </font>
    <font>
      <b/>
      <sz val="10"/>
      <color theme="1"/>
      <name val="Arial"/>
    </font>
    <font>
      <b/>
      <sz val="10"/>
      <color rgb="FF305475"/>
      <name val="Arial"/>
      <scheme val="minor"/>
    </font>
    <font>
      <sz val="10"/>
      <color rgb="FF305475"/>
      <name val="Arial"/>
      <scheme val="minor"/>
    </font>
    <font>
      <sz val="12"/>
      <color rgb="FFFFFFFF"/>
      <name val="Arial"/>
    </font>
    <font>
      <b/>
      <sz val="12"/>
      <color rgb="FFFFFFFF"/>
      <name val="Arial"/>
    </font>
    <font>
      <u/>
      <sz val="12"/>
      <color rgb="FFFFFFFF"/>
      <name val="Arial"/>
    </font>
    <font>
      <b/>
      <sz val="10"/>
      <color rgb="FFFFFFFF"/>
      <name val="Arial"/>
    </font>
    <font>
      <sz val="10"/>
      <color rgb="FFFFFFFF"/>
      <name val="Arial"/>
    </font>
  </fonts>
  <fills count="11">
    <fill>
      <patternFill patternType="none"/>
    </fill>
    <fill>
      <patternFill patternType="gray125"/>
    </fill>
    <fill>
      <patternFill patternType="solid">
        <fgColor rgb="FF305475"/>
        <bgColor rgb="FF305475"/>
      </patternFill>
    </fill>
    <fill>
      <patternFill patternType="solid">
        <fgColor rgb="FFBDBDBD"/>
        <bgColor rgb="FFBDBDBD"/>
      </patternFill>
    </fill>
    <fill>
      <patternFill patternType="solid">
        <fgColor rgb="FFFFFFFF"/>
        <bgColor rgb="FFFFFFFF"/>
      </patternFill>
    </fill>
    <fill>
      <patternFill patternType="solid">
        <fgColor rgb="FFB7B7B7"/>
        <bgColor rgb="FFB7B7B7"/>
      </patternFill>
    </fill>
    <fill>
      <patternFill patternType="solid">
        <fgColor rgb="FFF3F3F3"/>
        <bgColor rgb="FFF3F3F3"/>
      </patternFill>
    </fill>
    <fill>
      <patternFill patternType="solid">
        <fgColor rgb="FFC9DAF8"/>
        <bgColor rgb="FFC9DAF8"/>
      </patternFill>
    </fill>
    <fill>
      <patternFill patternType="solid">
        <fgColor rgb="FFEFEFEF"/>
        <bgColor rgb="FFEFEFEF"/>
      </patternFill>
    </fill>
    <fill>
      <patternFill patternType="solid">
        <fgColor rgb="FFA4C2F4"/>
        <bgColor rgb="FFA4C2F4"/>
      </patternFill>
    </fill>
    <fill>
      <patternFill patternType="solid">
        <fgColor rgb="FFB7E1CD"/>
        <bgColor rgb="FFB7E1CD"/>
      </patternFill>
    </fill>
  </fills>
  <borders count="32">
    <border>
      <left/>
      <right/>
      <top/>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ck">
        <color rgb="FFCC0000"/>
      </left>
      <right/>
      <top style="thick">
        <color rgb="FFCC0000"/>
      </top>
      <bottom style="thick">
        <color rgb="FFCC0000"/>
      </bottom>
      <diagonal/>
    </border>
    <border>
      <left/>
      <right/>
      <top style="thick">
        <color rgb="FFCC0000"/>
      </top>
      <bottom style="thick">
        <color rgb="FFCC0000"/>
      </bottom>
      <diagonal/>
    </border>
    <border>
      <left/>
      <right style="thick">
        <color rgb="FFCC0000"/>
      </right>
      <top style="thick">
        <color rgb="FFCC0000"/>
      </top>
      <bottom style="thick">
        <color rgb="FFCC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style="medium">
        <color rgb="FF000000"/>
      </left>
      <right style="medium">
        <color rgb="FF000000"/>
      </right>
      <top style="double">
        <color rgb="FF000000"/>
      </top>
      <bottom/>
      <diagonal/>
    </border>
    <border>
      <left/>
      <right/>
      <top style="double">
        <color rgb="FF000000"/>
      </top>
      <bottom/>
      <diagonal/>
    </border>
    <border>
      <left/>
      <right style="medium">
        <color rgb="FF000000"/>
      </right>
      <top style="double">
        <color rgb="FF000000"/>
      </top>
      <bottom/>
      <diagonal/>
    </border>
    <border>
      <left style="medium">
        <color rgb="FF000000"/>
      </left>
      <right style="medium">
        <color rgb="FF000000"/>
      </right>
      <top/>
      <bottom style="medium">
        <color rgb="FF000000"/>
      </bottom>
      <diagonal/>
    </border>
    <border>
      <left/>
      <right style="thin">
        <color rgb="FF000000"/>
      </right>
      <top style="medium">
        <color rgb="FF000000"/>
      </top>
      <bottom/>
      <diagonal/>
    </border>
    <border>
      <left style="medium">
        <color rgb="FF000000"/>
      </left>
      <right/>
      <top/>
      <bottom style="double">
        <color rgb="FF000000"/>
      </bottom>
      <diagonal/>
    </border>
    <border>
      <left/>
      <right style="thin">
        <color rgb="FF000000"/>
      </right>
      <top/>
      <bottom style="double">
        <color rgb="FF000000"/>
      </bottom>
      <diagonal/>
    </border>
    <border>
      <left/>
      <right/>
      <top/>
      <bottom style="double">
        <color rgb="FF000000"/>
      </bottom>
      <diagonal/>
    </border>
    <border>
      <left/>
      <right style="medium">
        <color rgb="FF000000"/>
      </right>
      <top/>
      <bottom style="double">
        <color rgb="FF000000"/>
      </bottom>
      <diagonal/>
    </border>
    <border>
      <left/>
      <right style="thin">
        <color rgb="FF000000"/>
      </right>
      <top/>
      <bottom style="medium">
        <color rgb="FF000000"/>
      </bottom>
      <diagonal/>
    </border>
  </borders>
  <cellStyleXfs count="1">
    <xf numFmtId="0" fontId="0" fillId="0" borderId="0"/>
  </cellStyleXfs>
  <cellXfs count="137">
    <xf numFmtId="0" fontId="0" fillId="0" borderId="0" xfId="0"/>
    <xf numFmtId="0" fontId="1" fillId="0" borderId="0" xfId="0" applyFont="1" applyAlignment="1">
      <alignment horizontal="center"/>
    </xf>
    <xf numFmtId="0" fontId="1" fillId="0" borderId="0" xfId="0" applyFont="1" applyAlignment="1">
      <alignment horizontal="center" vertical="center"/>
    </xf>
    <xf numFmtId="0" fontId="1" fillId="0" borderId="0" xfId="0" applyFont="1" applyAlignment="1">
      <alignment horizontal="left" vertical="center"/>
    </xf>
    <xf numFmtId="0" fontId="1" fillId="0" borderId="1" xfId="0" applyFont="1" applyBorder="1"/>
    <xf numFmtId="0" fontId="1" fillId="0" borderId="2" xfId="0" applyFont="1" applyBorder="1"/>
    <xf numFmtId="0" fontId="1" fillId="0" borderId="3" xfId="0" applyFont="1" applyBorder="1"/>
    <xf numFmtId="0" fontId="2" fillId="0" borderId="0" xfId="0" applyFont="1"/>
    <xf numFmtId="0" fontId="1" fillId="0" borderId="4" xfId="0" applyFont="1" applyBorder="1" applyAlignment="1">
      <alignment horizontal="left" vertical="center"/>
    </xf>
    <xf numFmtId="0" fontId="1" fillId="0" borderId="5" xfId="0" applyFont="1" applyBorder="1" applyAlignment="1">
      <alignment horizontal="left" vertical="center"/>
    </xf>
    <xf numFmtId="0" fontId="1" fillId="0" borderId="6" xfId="0" applyFont="1" applyBorder="1" applyAlignment="1">
      <alignment horizontal="left" vertical="center"/>
    </xf>
    <xf numFmtId="0" fontId="1" fillId="0" borderId="7" xfId="0" applyFont="1" applyBorder="1" applyAlignment="1">
      <alignment horizontal="left" vertical="center"/>
    </xf>
    <xf numFmtId="0" fontId="1" fillId="0" borderId="8" xfId="0" applyFont="1" applyBorder="1" applyAlignment="1">
      <alignment horizontal="left" vertical="center"/>
    </xf>
    <xf numFmtId="0" fontId="3" fillId="0" borderId="0" xfId="0" applyFont="1"/>
    <xf numFmtId="0" fontId="1" fillId="0" borderId="0" xfId="0" applyFont="1"/>
    <xf numFmtId="0" fontId="1" fillId="4" borderId="0" xfId="0" applyFont="1" applyFill="1" applyAlignment="1">
      <alignment horizontal="center"/>
    </xf>
    <xf numFmtId="0" fontId="6" fillId="4" borderId="0" xfId="0" applyFont="1" applyFill="1" applyAlignment="1">
      <alignment horizontal="center"/>
    </xf>
    <xf numFmtId="0" fontId="6" fillId="5" borderId="0" xfId="0" applyFont="1" applyFill="1" applyAlignment="1">
      <alignment horizontal="center"/>
    </xf>
    <xf numFmtId="0" fontId="7" fillId="5" borderId="0" xfId="0" applyFont="1" applyFill="1" applyAlignment="1">
      <alignment horizontal="center"/>
    </xf>
    <xf numFmtId="1" fontId="1" fillId="4" borderId="0" xfId="0" applyNumberFormat="1" applyFont="1" applyFill="1" applyAlignment="1">
      <alignment horizontal="center"/>
    </xf>
    <xf numFmtId="1" fontId="1" fillId="4" borderId="0" xfId="0" applyNumberFormat="1" applyFont="1" applyFill="1" applyAlignment="1">
      <alignment horizontal="left" wrapText="1"/>
    </xf>
    <xf numFmtId="14" fontId="8" fillId="4" borderId="0" xfId="0" applyNumberFormat="1" applyFont="1" applyFill="1" applyAlignment="1">
      <alignment horizontal="center"/>
    </xf>
    <xf numFmtId="49" fontId="1" fillId="4" borderId="0" xfId="0" applyNumberFormat="1" applyFont="1" applyFill="1" applyAlignment="1">
      <alignment horizontal="center"/>
    </xf>
    <xf numFmtId="164" fontId="1" fillId="4" borderId="0" xfId="0" applyNumberFormat="1" applyFont="1" applyFill="1" applyAlignment="1">
      <alignment horizontal="center"/>
    </xf>
    <xf numFmtId="1" fontId="1" fillId="6" borderId="0" xfId="0" applyNumberFormat="1" applyFont="1" applyFill="1" applyAlignment="1">
      <alignment horizontal="center"/>
    </xf>
    <xf numFmtId="1" fontId="1" fillId="6" borderId="0" xfId="0" applyNumberFormat="1" applyFont="1" applyFill="1" applyAlignment="1">
      <alignment horizontal="left" wrapText="1"/>
    </xf>
    <xf numFmtId="14" fontId="8" fillId="6" borderId="0" xfId="0" applyNumberFormat="1" applyFont="1" applyFill="1" applyAlignment="1">
      <alignment horizontal="center"/>
    </xf>
    <xf numFmtId="49" fontId="1" fillId="6" borderId="0" xfId="0" applyNumberFormat="1" applyFont="1" applyFill="1" applyAlignment="1">
      <alignment horizontal="center"/>
    </xf>
    <xf numFmtId="164" fontId="1" fillId="6" borderId="0" xfId="0" applyNumberFormat="1" applyFont="1" applyFill="1" applyAlignment="1">
      <alignment horizontal="center"/>
    </xf>
    <xf numFmtId="14" fontId="1" fillId="4" borderId="0" xfId="0" applyNumberFormat="1" applyFont="1" applyFill="1" applyAlignment="1">
      <alignment horizontal="center"/>
    </xf>
    <xf numFmtId="14" fontId="1" fillId="6" borderId="0" xfId="0" applyNumberFormat="1" applyFont="1" applyFill="1" applyAlignment="1">
      <alignment horizontal="center"/>
    </xf>
    <xf numFmtId="1" fontId="9" fillId="4" borderId="0" xfId="0" applyNumberFormat="1" applyFont="1" applyFill="1" applyAlignment="1">
      <alignment horizontal="center"/>
    </xf>
    <xf numFmtId="14" fontId="2" fillId="4" borderId="0" xfId="0" applyNumberFormat="1" applyFont="1" applyFill="1" applyAlignment="1">
      <alignment horizontal="center"/>
    </xf>
    <xf numFmtId="14" fontId="2" fillId="6" borderId="0" xfId="0" applyNumberFormat="1" applyFont="1" applyFill="1" applyAlignment="1">
      <alignment horizontal="center"/>
    </xf>
    <xf numFmtId="0" fontId="1" fillId="6" borderId="0" xfId="0" applyFont="1" applyFill="1"/>
    <xf numFmtId="0" fontId="1" fillId="4" borderId="0" xfId="0" applyFont="1" applyFill="1"/>
    <xf numFmtId="0" fontId="1" fillId="6" borderId="0" xfId="0" applyFont="1" applyFill="1" applyAlignment="1">
      <alignment horizontal="center"/>
    </xf>
    <xf numFmtId="0" fontId="3" fillId="4" borderId="0" xfId="0" applyFont="1" applyFill="1"/>
    <xf numFmtId="14" fontId="3" fillId="4" borderId="0" xfId="0" applyNumberFormat="1" applyFont="1" applyFill="1" applyAlignment="1">
      <alignment horizontal="center"/>
    </xf>
    <xf numFmtId="0" fontId="3" fillId="4" borderId="0" xfId="0" applyFont="1" applyFill="1" applyAlignment="1">
      <alignment horizontal="center"/>
    </xf>
    <xf numFmtId="164" fontId="3" fillId="4" borderId="0" xfId="0" applyNumberFormat="1" applyFont="1" applyFill="1" applyAlignment="1">
      <alignment horizontal="center"/>
    </xf>
    <xf numFmtId="0" fontId="2" fillId="6" borderId="0" xfId="0" applyFont="1" applyFill="1" applyAlignment="1">
      <alignment horizontal="center"/>
    </xf>
    <xf numFmtId="0" fontId="3" fillId="6" borderId="0" xfId="0" applyFont="1" applyFill="1"/>
    <xf numFmtId="14" fontId="3" fillId="6" borderId="0" xfId="0" applyNumberFormat="1" applyFont="1" applyFill="1" applyAlignment="1">
      <alignment horizontal="center"/>
    </xf>
    <xf numFmtId="0" fontId="3" fillId="6" borderId="0" xfId="0" applyFont="1" applyFill="1" applyAlignment="1">
      <alignment horizontal="center"/>
    </xf>
    <xf numFmtId="164" fontId="3" fillId="6" borderId="0" xfId="0" applyNumberFormat="1" applyFont="1" applyFill="1" applyAlignment="1">
      <alignment horizontal="center"/>
    </xf>
    <xf numFmtId="49" fontId="6" fillId="4" borderId="0" xfId="0" applyNumberFormat="1" applyFont="1" applyFill="1" applyAlignment="1">
      <alignment horizontal="center"/>
    </xf>
    <xf numFmtId="0" fontId="1" fillId="6" borderId="0" xfId="0" applyFont="1" applyFill="1" applyAlignment="1">
      <alignment horizontal="left"/>
    </xf>
    <xf numFmtId="4" fontId="1" fillId="6" borderId="0" xfId="0" applyNumberFormat="1" applyFont="1" applyFill="1" applyAlignment="1">
      <alignment horizontal="center"/>
    </xf>
    <xf numFmtId="0" fontId="1" fillId="6" borderId="0" xfId="0" applyFont="1" applyFill="1" applyAlignment="1">
      <alignment horizontal="center" wrapText="1"/>
    </xf>
    <xf numFmtId="0" fontId="1" fillId="4" borderId="0" xfId="0" applyFont="1" applyFill="1" applyAlignment="1">
      <alignment horizontal="left"/>
    </xf>
    <xf numFmtId="4" fontId="1" fillId="4" borderId="0" xfId="0" applyNumberFormat="1" applyFont="1" applyFill="1" applyAlignment="1">
      <alignment horizontal="center"/>
    </xf>
    <xf numFmtId="0" fontId="1" fillId="4" borderId="0" xfId="0" applyFont="1" applyFill="1" applyAlignment="1">
      <alignment horizontal="center" wrapText="1"/>
    </xf>
    <xf numFmtId="1" fontId="2" fillId="4" borderId="0" xfId="0" applyNumberFormat="1" applyFont="1" applyFill="1" applyAlignment="1">
      <alignment horizontal="center"/>
    </xf>
    <xf numFmtId="49" fontId="2" fillId="4" borderId="0" xfId="0" applyNumberFormat="1" applyFont="1" applyFill="1" applyAlignment="1">
      <alignment horizontal="center"/>
    </xf>
    <xf numFmtId="0" fontId="2" fillId="4" borderId="0" xfId="0" applyFont="1" applyFill="1" applyAlignment="1">
      <alignment horizontal="center"/>
    </xf>
    <xf numFmtId="0" fontId="2" fillId="4" borderId="0" xfId="0" applyFont="1" applyFill="1"/>
    <xf numFmtId="164" fontId="2" fillId="4" borderId="0" xfId="0" applyNumberFormat="1" applyFont="1" applyFill="1" applyAlignment="1">
      <alignment horizontal="center"/>
    </xf>
    <xf numFmtId="14" fontId="2" fillId="4" borderId="0" xfId="0" applyNumberFormat="1" applyFont="1" applyFill="1"/>
    <xf numFmtId="0" fontId="2" fillId="4" borderId="0" xfId="0" applyFont="1" applyFill="1" applyAlignment="1">
      <alignment horizontal="center" wrapText="1"/>
    </xf>
    <xf numFmtId="1" fontId="2" fillId="6" borderId="0" xfId="0" applyNumberFormat="1" applyFont="1" applyFill="1" applyAlignment="1">
      <alignment horizontal="center"/>
    </xf>
    <xf numFmtId="49" fontId="2" fillId="6" borderId="0" xfId="0" applyNumberFormat="1" applyFont="1" applyFill="1" applyAlignment="1">
      <alignment horizontal="center"/>
    </xf>
    <xf numFmtId="0" fontId="2" fillId="6" borderId="0" xfId="0" applyFont="1" applyFill="1"/>
    <xf numFmtId="164" fontId="2" fillId="6" borderId="0" xfId="0" applyNumberFormat="1" applyFont="1" applyFill="1" applyAlignment="1">
      <alignment horizontal="center"/>
    </xf>
    <xf numFmtId="14" fontId="2" fillId="6" borderId="0" xfId="0" applyNumberFormat="1" applyFont="1" applyFill="1"/>
    <xf numFmtId="0" fontId="2" fillId="6" borderId="0" xfId="0" applyFont="1" applyFill="1" applyAlignment="1">
      <alignment horizontal="center" wrapText="1"/>
    </xf>
    <xf numFmtId="0" fontId="8" fillId="4" borderId="0" xfId="0" applyFont="1" applyFill="1" applyAlignment="1">
      <alignment horizontal="center"/>
    </xf>
    <xf numFmtId="49" fontId="3" fillId="6" borderId="0" xfId="0" applyNumberFormat="1" applyFont="1" applyFill="1" applyAlignment="1">
      <alignment horizontal="center"/>
    </xf>
    <xf numFmtId="0" fontId="3" fillId="6" borderId="0" xfId="0" applyFont="1" applyFill="1" applyAlignment="1">
      <alignment horizontal="left"/>
    </xf>
    <xf numFmtId="4" fontId="3" fillId="6" borderId="0" xfId="0" applyNumberFormat="1" applyFont="1" applyFill="1" applyAlignment="1">
      <alignment horizontal="center"/>
    </xf>
    <xf numFmtId="0" fontId="2" fillId="4" borderId="0" xfId="0" applyFont="1" applyFill="1" applyAlignment="1">
      <alignment horizontal="left"/>
    </xf>
    <xf numFmtId="0" fontId="6" fillId="7" borderId="12" xfId="0" applyFont="1" applyFill="1" applyBorder="1" applyAlignment="1">
      <alignment horizontal="center"/>
    </xf>
    <xf numFmtId="0" fontId="6" fillId="7" borderId="16" xfId="0" applyFont="1" applyFill="1" applyBorder="1"/>
    <xf numFmtId="0" fontId="6" fillId="7" borderId="18" xfId="0" applyFont="1" applyFill="1" applyBorder="1"/>
    <xf numFmtId="0" fontId="12" fillId="7" borderId="18" xfId="0" applyFont="1" applyFill="1" applyBorder="1" applyAlignment="1">
      <alignment horizontal="center"/>
    </xf>
    <xf numFmtId="0" fontId="12" fillId="7" borderId="19" xfId="0" applyFont="1" applyFill="1" applyBorder="1" applyAlignment="1">
      <alignment horizontal="center"/>
    </xf>
    <xf numFmtId="14" fontId="12" fillId="7" borderId="18" xfId="0" applyNumberFormat="1" applyFont="1" applyFill="1" applyBorder="1" applyAlignment="1">
      <alignment horizontal="center"/>
    </xf>
    <xf numFmtId="14" fontId="12" fillId="7" borderId="20" xfId="0" applyNumberFormat="1" applyFont="1" applyFill="1" applyBorder="1" applyAlignment="1">
      <alignment horizontal="center"/>
    </xf>
    <xf numFmtId="14" fontId="12" fillId="7" borderId="19" xfId="0" applyNumberFormat="1" applyFont="1" applyFill="1" applyBorder="1" applyAlignment="1">
      <alignment horizontal="center"/>
    </xf>
    <xf numFmtId="0" fontId="13" fillId="8" borderId="21" xfId="0" applyFont="1" applyFill="1" applyBorder="1"/>
    <xf numFmtId="0" fontId="1" fillId="0" borderId="17" xfId="0" applyFont="1" applyBorder="1"/>
    <xf numFmtId="0" fontId="1" fillId="0" borderId="5" xfId="0" applyFont="1" applyBorder="1"/>
    <xf numFmtId="0" fontId="13" fillId="9" borderId="22" xfId="0" applyFont="1" applyFill="1" applyBorder="1"/>
    <xf numFmtId="0" fontId="1" fillId="9" borderId="23" xfId="0" applyFont="1" applyFill="1" applyBorder="1"/>
    <xf numFmtId="0" fontId="1" fillId="9" borderId="24" xfId="0" applyFont="1" applyFill="1" applyBorder="1"/>
    <xf numFmtId="0" fontId="1" fillId="4" borderId="17" xfId="0" applyFont="1" applyFill="1" applyBorder="1"/>
    <xf numFmtId="0" fontId="1" fillId="6" borderId="17" xfId="0" applyFont="1" applyFill="1" applyBorder="1"/>
    <xf numFmtId="0" fontId="13" fillId="8" borderId="25" xfId="0" applyFont="1" applyFill="1" applyBorder="1"/>
    <xf numFmtId="0" fontId="1" fillId="0" borderId="7" xfId="0" applyFont="1" applyBorder="1"/>
    <xf numFmtId="0" fontId="1" fillId="0" borderId="8" xfId="0" applyFont="1" applyBorder="1"/>
    <xf numFmtId="0" fontId="6" fillId="10" borderId="0" xfId="0" applyFont="1" applyFill="1" applyAlignment="1">
      <alignment horizontal="center"/>
    </xf>
    <xf numFmtId="0" fontId="14" fillId="3" borderId="0" xfId="0" applyFont="1" applyFill="1"/>
    <xf numFmtId="0" fontId="15" fillId="3" borderId="0" xfId="0" applyFont="1" applyFill="1"/>
    <xf numFmtId="0" fontId="8" fillId="10" borderId="13" xfId="0" applyFont="1" applyFill="1" applyBorder="1" applyAlignment="1">
      <alignment horizontal="center"/>
    </xf>
    <xf numFmtId="0" fontId="8" fillId="10" borderId="26" xfId="0" applyFont="1" applyFill="1" applyBorder="1" applyAlignment="1">
      <alignment horizontal="center"/>
    </xf>
    <xf numFmtId="49" fontId="1" fillId="0" borderId="0" xfId="0" applyNumberFormat="1" applyFont="1"/>
    <xf numFmtId="4" fontId="1" fillId="0" borderId="0" xfId="0" applyNumberFormat="1" applyFont="1"/>
    <xf numFmtId="0" fontId="8" fillId="10" borderId="27" xfId="0" applyFont="1" applyFill="1" applyBorder="1" applyAlignment="1">
      <alignment horizontal="center"/>
    </xf>
    <xf numFmtId="0" fontId="8" fillId="10" borderId="28" xfId="0" applyFont="1" applyFill="1" applyBorder="1" applyAlignment="1">
      <alignment horizontal="center"/>
    </xf>
    <xf numFmtId="0" fontId="8" fillId="10" borderId="29" xfId="0" applyFont="1" applyFill="1" applyBorder="1"/>
    <xf numFmtId="0" fontId="8" fillId="10" borderId="28" xfId="0" applyFont="1" applyFill="1" applyBorder="1"/>
    <xf numFmtId="0" fontId="8" fillId="10" borderId="30" xfId="0" applyFont="1" applyFill="1" applyBorder="1"/>
    <xf numFmtId="14" fontId="8" fillId="0" borderId="16" xfId="0" applyNumberFormat="1" applyFont="1" applyBorder="1"/>
    <xf numFmtId="0" fontId="8" fillId="0" borderId="5" xfId="0" applyFont="1" applyBorder="1"/>
    <xf numFmtId="165" fontId="1" fillId="0" borderId="0" xfId="0" applyNumberFormat="1" applyFont="1"/>
    <xf numFmtId="165" fontId="1" fillId="0" borderId="5" xfId="0" applyNumberFormat="1" applyFont="1" applyBorder="1"/>
    <xf numFmtId="165" fontId="1" fillId="0" borderId="17" xfId="0" applyNumberFormat="1" applyFont="1" applyBorder="1"/>
    <xf numFmtId="14" fontId="8" fillId="0" borderId="18" xfId="0" applyNumberFormat="1" applyFont="1" applyBorder="1"/>
    <xf numFmtId="0" fontId="8" fillId="0" borderId="31" xfId="0" applyFont="1" applyBorder="1"/>
    <xf numFmtId="165" fontId="1" fillId="0" borderId="19" xfId="0" applyNumberFormat="1" applyFont="1" applyBorder="1"/>
    <xf numFmtId="165" fontId="1" fillId="0" borderId="31" xfId="0" applyNumberFormat="1" applyFont="1" applyBorder="1"/>
    <xf numFmtId="165" fontId="1" fillId="0" borderId="20" xfId="0" applyNumberFormat="1" applyFont="1" applyBorder="1"/>
    <xf numFmtId="14" fontId="8" fillId="0" borderId="0" xfId="0" applyNumberFormat="1" applyFont="1"/>
    <xf numFmtId="164" fontId="1" fillId="0" borderId="0" xfId="0" applyNumberFormat="1" applyFont="1"/>
    <xf numFmtId="0" fontId="1" fillId="0" borderId="31" xfId="0" applyFont="1" applyBorder="1"/>
    <xf numFmtId="0" fontId="1" fillId="0" borderId="19" xfId="0" applyFont="1" applyBorder="1"/>
    <xf numFmtId="0" fontId="1" fillId="0" borderId="20" xfId="0" applyFont="1" applyBorder="1"/>
    <xf numFmtId="0" fontId="4" fillId="2" borderId="9" xfId="0" applyFont="1" applyFill="1" applyBorder="1" applyAlignment="1">
      <alignment horizontal="left" vertical="center"/>
    </xf>
    <xf numFmtId="0" fontId="5" fillId="3" borderId="10" xfId="0" applyFont="1" applyFill="1" applyBorder="1"/>
    <xf numFmtId="0" fontId="5" fillId="3" borderId="11" xfId="0" applyFont="1" applyFill="1" applyBorder="1"/>
    <xf numFmtId="0" fontId="10" fillId="2" borderId="9" xfId="0" applyFont="1" applyFill="1" applyBorder="1" applyAlignment="1">
      <alignment horizontal="left" vertical="center"/>
    </xf>
    <xf numFmtId="14" fontId="6" fillId="7" borderId="0" xfId="0" applyNumberFormat="1" applyFont="1" applyFill="1" applyAlignment="1">
      <alignment horizontal="center"/>
    </xf>
    <xf numFmtId="0" fontId="0" fillId="0" borderId="0" xfId="0"/>
    <xf numFmtId="14" fontId="6" fillId="7" borderId="16" xfId="0" applyNumberFormat="1" applyFont="1" applyFill="1" applyBorder="1" applyAlignment="1">
      <alignment horizontal="center"/>
    </xf>
    <xf numFmtId="0" fontId="6" fillId="7" borderId="16" xfId="0" applyFont="1" applyFill="1" applyBorder="1" applyAlignment="1">
      <alignment horizontal="center"/>
    </xf>
    <xf numFmtId="0" fontId="5" fillId="0" borderId="17" xfId="0" applyFont="1" applyBorder="1"/>
    <xf numFmtId="0" fontId="6" fillId="7" borderId="13" xfId="0" applyFont="1" applyFill="1" applyBorder="1" applyAlignment="1">
      <alignment horizontal="center"/>
    </xf>
    <xf numFmtId="0" fontId="5" fillId="0" borderId="14" xfId="0" applyFont="1" applyBorder="1"/>
    <xf numFmtId="14" fontId="6" fillId="7" borderId="13" xfId="0" applyNumberFormat="1" applyFont="1" applyFill="1" applyBorder="1" applyAlignment="1">
      <alignment horizontal="center"/>
    </xf>
    <xf numFmtId="0" fontId="5" fillId="0" borderId="15" xfId="0" applyFont="1" applyBorder="1"/>
    <xf numFmtId="0" fontId="11" fillId="7" borderId="16" xfId="0" applyFont="1" applyFill="1" applyBorder="1" applyAlignment="1">
      <alignment horizontal="center" vertical="center"/>
    </xf>
    <xf numFmtId="0" fontId="5" fillId="0" borderId="18" xfId="0" applyFont="1" applyBorder="1"/>
    <xf numFmtId="0" fontId="5" fillId="0" borderId="19" xfId="0" applyFont="1" applyBorder="1"/>
    <xf numFmtId="0" fontId="5" fillId="0" borderId="20" xfId="0" applyFont="1" applyBorder="1"/>
    <xf numFmtId="0" fontId="5" fillId="6" borderId="14" xfId="0" applyFont="1" applyFill="1" applyBorder="1"/>
    <xf numFmtId="0" fontId="8" fillId="10" borderId="15" xfId="0" applyFont="1" applyFill="1" applyBorder="1" applyAlignment="1">
      <alignment horizontal="center"/>
    </xf>
    <xf numFmtId="0" fontId="5" fillId="0" borderId="26" xfId="0" applyFont="1" applyBorder="1"/>
  </cellXfs>
  <cellStyles count="1">
    <cellStyle name="Normal" xfId="0" builtinId="0"/>
  </cellStyles>
  <dxfs count="26">
    <dxf>
      <fill>
        <patternFill patternType="solid">
          <fgColor rgb="FFB7E1CD"/>
          <bgColor rgb="FFB7E1CD"/>
        </patternFill>
      </fill>
    </dxf>
    <dxf>
      <fill>
        <patternFill patternType="solid">
          <fgColor rgb="FFE67C73"/>
          <bgColor rgb="FFE67C73"/>
        </patternFill>
      </fill>
    </dxf>
    <dxf>
      <fill>
        <patternFill patternType="solid">
          <fgColor rgb="FFFFD666"/>
          <bgColor rgb="FFFFD666"/>
        </patternFill>
      </fill>
    </dxf>
    <dxf>
      <font>
        <color rgb="FF000000"/>
      </font>
      <fill>
        <patternFill patternType="none"/>
      </fill>
    </dxf>
    <dxf>
      <font>
        <color rgb="FFB7B7B7"/>
      </font>
      <fill>
        <patternFill patternType="solid">
          <fgColor rgb="FFFFFFFF"/>
          <bgColor rgb="FFFFFFFF"/>
        </patternFill>
      </fill>
    </dxf>
    <dxf>
      <fill>
        <patternFill patternType="solid">
          <fgColor rgb="FFB7E1CD"/>
          <bgColor rgb="FFB7E1CD"/>
        </patternFill>
      </fill>
    </dxf>
    <dxf>
      <fill>
        <patternFill patternType="solid">
          <fgColor rgb="FFFFF2CC"/>
          <bgColor rgb="FFFFF2CC"/>
        </patternFill>
      </fill>
    </dxf>
    <dxf>
      <font>
        <color rgb="FF000000"/>
      </font>
      <fill>
        <patternFill patternType="solid">
          <fgColor rgb="FFD9EAD3"/>
          <bgColor rgb="FFD9EAD3"/>
        </patternFill>
      </fill>
    </dxf>
    <dxf>
      <font>
        <color rgb="FF999999"/>
      </font>
      <fill>
        <patternFill patternType="none"/>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s>
  <tableStyles count="8">
    <tableStyle name="Calendar-style" pivot="0" count="2" xr9:uid="{00000000-0011-0000-FFFF-FFFF00000000}">
      <tableStyleElement type="firstRowStripe" dxfId="25"/>
      <tableStyleElement type="secondRowStripe" dxfId="24"/>
    </tableStyle>
    <tableStyle name="Calendar-style 2" pivot="0" count="2" xr9:uid="{00000000-0011-0000-FFFF-FFFF01000000}">
      <tableStyleElement type="firstRowStripe" dxfId="23"/>
      <tableStyleElement type="secondRowStripe" dxfId="22"/>
    </tableStyle>
    <tableStyle name="Calendar-style 3" pivot="0" count="2" xr9:uid="{00000000-0011-0000-FFFF-FFFF02000000}">
      <tableStyleElement type="firstRowStripe" dxfId="21"/>
      <tableStyleElement type="secondRowStripe" dxfId="20"/>
    </tableStyle>
    <tableStyle name="Burndown Overview-style" pivot="0" count="3" xr9:uid="{00000000-0011-0000-FFFF-FFFF03000000}">
      <tableStyleElement type="headerRow" dxfId="19"/>
      <tableStyleElement type="firstRowStripe" dxfId="18"/>
      <tableStyleElement type="secondRowStripe" dxfId="17"/>
    </tableStyle>
    <tableStyle name="Iteration-1 (Burndown)-style" pivot="0" count="2" xr9:uid="{00000000-0011-0000-FFFF-FFFF04000000}">
      <tableStyleElement type="firstRowStripe" dxfId="16"/>
      <tableStyleElement type="secondRowStripe" dxfId="15"/>
    </tableStyle>
    <tableStyle name="Iteration-2 (Burndown)-style" pivot="0" count="2" xr9:uid="{00000000-0011-0000-FFFF-FFFF05000000}">
      <tableStyleElement type="firstRowStripe" dxfId="14"/>
      <tableStyleElement type="secondRowStripe" dxfId="13"/>
    </tableStyle>
    <tableStyle name="Iteration-3 (Burndown)-style" pivot="0" count="2" xr9:uid="{00000000-0011-0000-FFFF-FFFF06000000}">
      <tableStyleElement type="firstRowStripe" dxfId="12"/>
      <tableStyleElement type="secondRowStripe" dxfId="11"/>
    </tableStyle>
    <tableStyle name="Iteration-4 (Burndown)-style" pivot="0" count="2" xr9:uid="{00000000-0011-0000-FFFF-FFFF07000000}">
      <tableStyleElement type="firstRowStripe" dxfId="10"/>
      <tableStyleElement type="secondRowStripe" dxfId="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spPr>
            <a:ln cmpd="sng">
              <a:solidFill>
                <a:srgbClr val="4285F4"/>
              </a:solidFill>
            </a:ln>
          </c:spPr>
          <c:marker>
            <c:symbol val="circle"/>
            <c:size val="10"/>
            <c:spPr>
              <a:solidFill>
                <a:srgbClr val="4285F4"/>
              </a:solidFill>
              <a:ln cmpd="sng">
                <a:solidFill>
                  <a:srgbClr val="4285F4"/>
                </a:solidFill>
              </a:ln>
            </c:spPr>
          </c:marker>
          <c:trendline>
            <c:spPr>
              <a:ln w="19050">
                <a:solidFill>
                  <a:srgbClr val="000000"/>
                </a:solidFill>
              </a:ln>
            </c:spPr>
            <c:trendlineType val="linear"/>
            <c:dispRSqr val="0"/>
            <c:dispEq val="0"/>
          </c:trendline>
          <c:cat>
            <c:strRef>
              <c:f>'Burndown Overview'!$B$1:$F$1</c:f>
              <c:strCache>
                <c:ptCount val="5"/>
                <c:pt idx="0">
                  <c:v>Estimate</c:v>
                </c:pt>
                <c:pt idx="1">
                  <c:v>1</c:v>
                </c:pt>
                <c:pt idx="2">
                  <c:v>2</c:v>
                </c:pt>
                <c:pt idx="3">
                  <c:v>3</c:v>
                </c:pt>
                <c:pt idx="4">
                  <c:v>4</c:v>
                </c:pt>
              </c:strCache>
            </c:strRef>
          </c:cat>
          <c:val>
            <c:numRef>
              <c:f>'Burndown Overview'!$I$1:$M$1</c:f>
              <c:numCache>
                <c:formatCode>General</c:formatCode>
                <c:ptCount val="5"/>
                <c:pt idx="0">
                  <c:v>390.5</c:v>
                </c:pt>
                <c:pt idx="1">
                  <c:v>338</c:v>
                </c:pt>
                <c:pt idx="2">
                  <c:v>249.5</c:v>
                </c:pt>
                <c:pt idx="3">
                  <c:v>142.5</c:v>
                </c:pt>
                <c:pt idx="4">
                  <c:v>5</c:v>
                </c:pt>
              </c:numCache>
            </c:numRef>
          </c:val>
          <c:smooth val="0"/>
          <c:extLst>
            <c:ext xmlns:c16="http://schemas.microsoft.com/office/drawing/2014/chart" uri="{C3380CC4-5D6E-409C-BE32-E72D297353CC}">
              <c16:uniqueId val="{00000001-2919-48FC-897B-2AC2D62E09C6}"/>
            </c:ext>
          </c:extLst>
        </c:ser>
        <c:dLbls>
          <c:showLegendKey val="0"/>
          <c:showVal val="0"/>
          <c:showCatName val="0"/>
          <c:showSerName val="0"/>
          <c:showPercent val="0"/>
          <c:showBubbleSize val="0"/>
        </c:dLbls>
        <c:marker val="1"/>
        <c:smooth val="0"/>
        <c:axId val="453948538"/>
        <c:axId val="1577658415"/>
      </c:lineChart>
      <c:catAx>
        <c:axId val="453948538"/>
        <c:scaling>
          <c:orientation val="minMax"/>
        </c:scaling>
        <c:delete val="0"/>
        <c:axPos val="b"/>
        <c:title>
          <c:tx>
            <c:rich>
              <a:bodyPr/>
              <a:lstStyle/>
              <a:p>
                <a:pPr lvl="0">
                  <a:defRPr b="1">
                    <a:solidFill>
                      <a:srgbClr val="000000"/>
                    </a:solidFill>
                    <a:latin typeface="+mn-lt"/>
                  </a:defRPr>
                </a:pPr>
                <a:endParaRPr lang="en-BE"/>
              </a:p>
            </c:rich>
          </c:tx>
          <c:overlay val="0"/>
        </c:title>
        <c:numFmt formatCode="General" sourceLinked="1"/>
        <c:majorTickMark val="cross"/>
        <c:minorTickMark val="none"/>
        <c:tickLblPos val="nextTo"/>
        <c:txPr>
          <a:bodyPr/>
          <a:lstStyle/>
          <a:p>
            <a:pPr lvl="0">
              <a:defRPr b="0">
                <a:solidFill>
                  <a:srgbClr val="000000"/>
                </a:solidFill>
                <a:latin typeface="+mn-lt"/>
              </a:defRPr>
            </a:pPr>
            <a:endParaRPr lang="en-US"/>
          </a:p>
        </c:txPr>
        <c:crossAx val="1577658415"/>
        <c:crosses val="autoZero"/>
        <c:auto val="1"/>
        <c:lblAlgn val="ctr"/>
        <c:lblOffset val="100"/>
        <c:noMultiLvlLbl val="1"/>
      </c:catAx>
      <c:valAx>
        <c:axId val="1577658415"/>
        <c:scaling>
          <c:orientation val="minMax"/>
        </c:scaling>
        <c:delete val="0"/>
        <c:axPos val="l"/>
        <c:title>
          <c:tx>
            <c:rich>
              <a:bodyPr/>
              <a:lstStyle/>
              <a:p>
                <a:pPr lvl="0">
                  <a:defRPr b="0">
                    <a:solidFill>
                      <a:srgbClr val="000000"/>
                    </a:solidFill>
                    <a:latin typeface="+mn-lt"/>
                  </a:defRPr>
                </a:pPr>
                <a:endParaRPr lang="en-BE"/>
              </a:p>
            </c:rich>
          </c:tx>
          <c:overlay val="0"/>
        </c:title>
        <c:numFmt formatCode="General" sourceLinked="1"/>
        <c:majorTickMark val="cross"/>
        <c:minorTickMark val="none"/>
        <c:tickLblPos val="nextTo"/>
        <c:spPr>
          <a:ln/>
        </c:spPr>
        <c:txPr>
          <a:bodyPr/>
          <a:lstStyle/>
          <a:p>
            <a:pPr lvl="0">
              <a:defRPr b="0">
                <a:solidFill>
                  <a:srgbClr val="000000"/>
                </a:solidFill>
                <a:latin typeface="+mn-lt"/>
              </a:defRPr>
            </a:pPr>
            <a:endParaRPr lang="en-US"/>
          </a:p>
        </c:txPr>
        <c:crossAx val="453948538"/>
        <c:crosses val="autoZero"/>
        <c:crossBetween val="between"/>
      </c:valAx>
    </c:plotArea>
    <c:legend>
      <c:legendPos val="r"/>
      <c:overlay val="0"/>
      <c:txPr>
        <a:bodyPr/>
        <a:lstStyle/>
        <a:p>
          <a:pPr lvl="0">
            <a:defRPr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tx>
            <c:strRef>
              <c:f>'Iteration-1 (Burndown)'!$I$2</c:f>
              <c:strCache>
                <c:ptCount val="1"/>
                <c:pt idx="0">
                  <c:v>Ideal</c:v>
                </c:pt>
              </c:strCache>
            </c:strRef>
          </c:tx>
          <c:spPr>
            <a:ln cmpd="sng">
              <a:solidFill>
                <a:srgbClr val="4285F4"/>
              </a:solidFill>
            </a:ln>
          </c:spPr>
          <c:marker>
            <c:symbol val="none"/>
          </c:marker>
          <c:cat>
            <c:numRef>
              <c:f>'Iteration-1 (Burndown)'!$H$3:$H$16</c:f>
              <c:numCache>
                <c:formatCode>General</c:formatCode>
                <c:ptCount val="14"/>
                <c:pt idx="0">
                  <c:v>0</c:v>
                </c:pt>
                <c:pt idx="1">
                  <c:v>1</c:v>
                </c:pt>
                <c:pt idx="2">
                  <c:v>2</c:v>
                </c:pt>
                <c:pt idx="3">
                  <c:v>3</c:v>
                </c:pt>
                <c:pt idx="4">
                  <c:v>4</c:v>
                </c:pt>
                <c:pt idx="5">
                  <c:v>5</c:v>
                </c:pt>
                <c:pt idx="6">
                  <c:v>6</c:v>
                </c:pt>
                <c:pt idx="7">
                  <c:v>7</c:v>
                </c:pt>
                <c:pt idx="8">
                  <c:v>8</c:v>
                </c:pt>
                <c:pt idx="9">
                  <c:v>9</c:v>
                </c:pt>
                <c:pt idx="10">
                  <c:v>10</c:v>
                </c:pt>
                <c:pt idx="11">
                  <c:v>11</c:v>
                </c:pt>
                <c:pt idx="12">
                  <c:v>12</c:v>
                </c:pt>
                <c:pt idx="13">
                  <c:v>13</c:v>
                </c:pt>
              </c:numCache>
            </c:numRef>
          </c:cat>
          <c:val>
            <c:numRef>
              <c:f>'Iteration-1 (Burndown)'!$I$3:$I$16</c:f>
              <c:numCache>
                <c:formatCode>0.0</c:formatCode>
                <c:ptCount val="14"/>
                <c:pt idx="0">
                  <c:v>38</c:v>
                </c:pt>
                <c:pt idx="1">
                  <c:v>35.07692307692308</c:v>
                </c:pt>
                <c:pt idx="2">
                  <c:v>32.153846153846153</c:v>
                </c:pt>
                <c:pt idx="3">
                  <c:v>29.230769230769226</c:v>
                </c:pt>
                <c:pt idx="4">
                  <c:v>26.307692307692307</c:v>
                </c:pt>
                <c:pt idx="5">
                  <c:v>23.384615384615387</c:v>
                </c:pt>
                <c:pt idx="6">
                  <c:v>20.46153846153846</c:v>
                </c:pt>
                <c:pt idx="7">
                  <c:v>17.538461538461537</c:v>
                </c:pt>
                <c:pt idx="8">
                  <c:v>14.615384615384613</c:v>
                </c:pt>
                <c:pt idx="9">
                  <c:v>11.692307692307693</c:v>
                </c:pt>
                <c:pt idx="10">
                  <c:v>8.7692307692307683</c:v>
                </c:pt>
                <c:pt idx="11">
                  <c:v>5.8461538461538423</c:v>
                </c:pt>
                <c:pt idx="12">
                  <c:v>2.9230769230769211</c:v>
                </c:pt>
                <c:pt idx="13">
                  <c:v>0</c:v>
                </c:pt>
              </c:numCache>
            </c:numRef>
          </c:val>
          <c:smooth val="0"/>
          <c:extLst>
            <c:ext xmlns:c16="http://schemas.microsoft.com/office/drawing/2014/chart" uri="{C3380CC4-5D6E-409C-BE32-E72D297353CC}">
              <c16:uniqueId val="{00000000-CAB6-42BA-9020-286CEC8FF070}"/>
            </c:ext>
          </c:extLst>
        </c:ser>
        <c:ser>
          <c:idx val="1"/>
          <c:order val="1"/>
          <c:tx>
            <c:strRef>
              <c:f>'Iteration-1 (Burndown)'!$J$2</c:f>
              <c:strCache>
                <c:ptCount val="1"/>
                <c:pt idx="0">
                  <c:v>Reel</c:v>
                </c:pt>
              </c:strCache>
            </c:strRef>
          </c:tx>
          <c:spPr>
            <a:ln cmpd="sng">
              <a:solidFill>
                <a:srgbClr val="EA4335"/>
              </a:solidFill>
            </a:ln>
          </c:spPr>
          <c:marker>
            <c:symbol val="none"/>
          </c:marker>
          <c:cat>
            <c:numRef>
              <c:f>'Iteration-1 (Burndown)'!$H$3:$H$16</c:f>
              <c:numCache>
                <c:formatCode>General</c:formatCode>
                <c:ptCount val="14"/>
                <c:pt idx="0">
                  <c:v>0</c:v>
                </c:pt>
                <c:pt idx="1">
                  <c:v>1</c:v>
                </c:pt>
                <c:pt idx="2">
                  <c:v>2</c:v>
                </c:pt>
                <c:pt idx="3">
                  <c:v>3</c:v>
                </c:pt>
                <c:pt idx="4">
                  <c:v>4</c:v>
                </c:pt>
                <c:pt idx="5">
                  <c:v>5</c:v>
                </c:pt>
                <c:pt idx="6">
                  <c:v>6</c:v>
                </c:pt>
                <c:pt idx="7">
                  <c:v>7</c:v>
                </c:pt>
                <c:pt idx="8">
                  <c:v>8</c:v>
                </c:pt>
                <c:pt idx="9">
                  <c:v>9</c:v>
                </c:pt>
                <c:pt idx="10">
                  <c:v>10</c:v>
                </c:pt>
                <c:pt idx="11">
                  <c:v>11</c:v>
                </c:pt>
                <c:pt idx="12">
                  <c:v>12</c:v>
                </c:pt>
                <c:pt idx="13">
                  <c:v>13</c:v>
                </c:pt>
              </c:numCache>
            </c:numRef>
          </c:cat>
          <c:val>
            <c:numRef>
              <c:f>'Iteration-1 (Burndown)'!$J$3:$J$16</c:f>
              <c:numCache>
                <c:formatCode>0.0</c:formatCode>
                <c:ptCount val="14"/>
                <c:pt idx="0">
                  <c:v>52.5</c:v>
                </c:pt>
                <c:pt idx="1">
                  <c:v>48</c:v>
                </c:pt>
                <c:pt idx="2">
                  <c:v>35</c:v>
                </c:pt>
                <c:pt idx="3">
                  <c:v>27</c:v>
                </c:pt>
                <c:pt idx="4">
                  <c:v>23</c:v>
                </c:pt>
                <c:pt idx="5">
                  <c:v>20</c:v>
                </c:pt>
                <c:pt idx="6">
                  <c:v>16</c:v>
                </c:pt>
                <c:pt idx="7">
                  <c:v>16</c:v>
                </c:pt>
                <c:pt idx="8">
                  <c:v>14</c:v>
                </c:pt>
                <c:pt idx="9">
                  <c:v>12</c:v>
                </c:pt>
                <c:pt idx="10">
                  <c:v>7</c:v>
                </c:pt>
                <c:pt idx="11">
                  <c:v>5</c:v>
                </c:pt>
                <c:pt idx="12">
                  <c:v>1</c:v>
                </c:pt>
                <c:pt idx="13">
                  <c:v>0</c:v>
                </c:pt>
              </c:numCache>
            </c:numRef>
          </c:val>
          <c:smooth val="0"/>
          <c:extLst>
            <c:ext xmlns:c16="http://schemas.microsoft.com/office/drawing/2014/chart" uri="{C3380CC4-5D6E-409C-BE32-E72D297353CC}">
              <c16:uniqueId val="{00000001-CAB6-42BA-9020-286CEC8FF070}"/>
            </c:ext>
          </c:extLst>
        </c:ser>
        <c:dLbls>
          <c:showLegendKey val="0"/>
          <c:showVal val="0"/>
          <c:showCatName val="0"/>
          <c:showSerName val="0"/>
          <c:showPercent val="0"/>
          <c:showBubbleSize val="0"/>
        </c:dLbls>
        <c:smooth val="0"/>
        <c:axId val="790571862"/>
        <c:axId val="1401871912"/>
      </c:lineChart>
      <c:catAx>
        <c:axId val="790571862"/>
        <c:scaling>
          <c:orientation val="minMax"/>
        </c:scaling>
        <c:delete val="0"/>
        <c:axPos val="b"/>
        <c:title>
          <c:tx>
            <c:rich>
              <a:bodyPr/>
              <a:lstStyle/>
              <a:p>
                <a:pPr lvl="0">
                  <a:defRPr b="0">
                    <a:solidFill>
                      <a:srgbClr val="000000"/>
                    </a:solidFill>
                    <a:latin typeface="+mn-lt"/>
                  </a:defRPr>
                </a:pPr>
                <a:endParaRPr lang="en-BE"/>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401871912"/>
        <c:crosses val="autoZero"/>
        <c:auto val="1"/>
        <c:lblAlgn val="ctr"/>
        <c:lblOffset val="100"/>
        <c:noMultiLvlLbl val="1"/>
      </c:catAx>
      <c:valAx>
        <c:axId val="14018719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BE"/>
              </a:p>
            </c:rich>
          </c:tx>
          <c:overlay val="0"/>
        </c:title>
        <c:numFmt formatCode="0.0" sourceLinked="1"/>
        <c:majorTickMark val="none"/>
        <c:minorTickMark val="none"/>
        <c:tickLblPos val="nextTo"/>
        <c:spPr>
          <a:ln/>
        </c:spPr>
        <c:txPr>
          <a:bodyPr/>
          <a:lstStyle/>
          <a:p>
            <a:pPr lvl="0">
              <a:defRPr b="0">
                <a:solidFill>
                  <a:srgbClr val="000000"/>
                </a:solidFill>
                <a:latin typeface="+mn-lt"/>
              </a:defRPr>
            </a:pPr>
            <a:endParaRPr lang="en-US"/>
          </a:p>
        </c:txPr>
        <c:crossAx val="790571862"/>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tx>
            <c:strRef>
              <c:f>'Iteration-2 (Burndown)'!$I$2</c:f>
              <c:strCache>
                <c:ptCount val="1"/>
                <c:pt idx="0">
                  <c:v>Ideal</c:v>
                </c:pt>
              </c:strCache>
            </c:strRef>
          </c:tx>
          <c:spPr>
            <a:ln cmpd="sng">
              <a:solidFill>
                <a:srgbClr val="4285F4"/>
              </a:solidFill>
            </a:ln>
          </c:spPr>
          <c:marker>
            <c:symbol val="none"/>
          </c:marker>
          <c:cat>
            <c:numRef>
              <c:f>'Iteration-2 (Burndown)'!$H$3:$H$16</c:f>
              <c:numCache>
                <c:formatCode>General</c:formatCode>
                <c:ptCount val="14"/>
                <c:pt idx="0">
                  <c:v>0</c:v>
                </c:pt>
                <c:pt idx="1">
                  <c:v>1</c:v>
                </c:pt>
                <c:pt idx="2">
                  <c:v>2</c:v>
                </c:pt>
                <c:pt idx="3">
                  <c:v>3</c:v>
                </c:pt>
                <c:pt idx="4">
                  <c:v>4</c:v>
                </c:pt>
                <c:pt idx="5">
                  <c:v>5</c:v>
                </c:pt>
                <c:pt idx="6">
                  <c:v>6</c:v>
                </c:pt>
                <c:pt idx="7">
                  <c:v>7</c:v>
                </c:pt>
                <c:pt idx="8">
                  <c:v>8</c:v>
                </c:pt>
                <c:pt idx="9">
                  <c:v>9</c:v>
                </c:pt>
                <c:pt idx="10">
                  <c:v>10</c:v>
                </c:pt>
                <c:pt idx="11">
                  <c:v>11</c:v>
                </c:pt>
                <c:pt idx="12">
                  <c:v>12</c:v>
                </c:pt>
                <c:pt idx="13">
                  <c:v>13</c:v>
                </c:pt>
              </c:numCache>
            </c:numRef>
          </c:cat>
          <c:val>
            <c:numRef>
              <c:f>'Iteration-2 (Burndown)'!$I$3:$I$16</c:f>
              <c:numCache>
                <c:formatCode>0.0</c:formatCode>
                <c:ptCount val="14"/>
                <c:pt idx="0">
                  <c:v>106.5</c:v>
                </c:pt>
                <c:pt idx="1">
                  <c:v>98.307692307692307</c:v>
                </c:pt>
                <c:pt idx="2">
                  <c:v>90.115384615384613</c:v>
                </c:pt>
                <c:pt idx="3">
                  <c:v>81.92307692307692</c:v>
                </c:pt>
                <c:pt idx="4">
                  <c:v>73.730769230769226</c:v>
                </c:pt>
                <c:pt idx="5">
                  <c:v>65.538461538461547</c:v>
                </c:pt>
                <c:pt idx="6">
                  <c:v>57.346153846153847</c:v>
                </c:pt>
                <c:pt idx="7">
                  <c:v>49.153846153846146</c:v>
                </c:pt>
                <c:pt idx="8">
                  <c:v>40.96153846153846</c:v>
                </c:pt>
                <c:pt idx="9">
                  <c:v>32.769230769230774</c:v>
                </c:pt>
                <c:pt idx="10">
                  <c:v>24.576923076923073</c:v>
                </c:pt>
                <c:pt idx="11">
                  <c:v>16.384615384615373</c:v>
                </c:pt>
                <c:pt idx="12">
                  <c:v>8.1923076923076863</c:v>
                </c:pt>
                <c:pt idx="13">
                  <c:v>0</c:v>
                </c:pt>
              </c:numCache>
            </c:numRef>
          </c:val>
          <c:smooth val="0"/>
          <c:extLst>
            <c:ext xmlns:c16="http://schemas.microsoft.com/office/drawing/2014/chart" uri="{C3380CC4-5D6E-409C-BE32-E72D297353CC}">
              <c16:uniqueId val="{00000000-C96F-49D3-B8B2-4B11069A037F}"/>
            </c:ext>
          </c:extLst>
        </c:ser>
        <c:ser>
          <c:idx val="1"/>
          <c:order val="1"/>
          <c:tx>
            <c:strRef>
              <c:f>'Iteration-2 (Burndown)'!$J$2</c:f>
              <c:strCache>
                <c:ptCount val="1"/>
                <c:pt idx="0">
                  <c:v>Reel</c:v>
                </c:pt>
              </c:strCache>
            </c:strRef>
          </c:tx>
          <c:spPr>
            <a:ln cmpd="sng">
              <a:solidFill>
                <a:srgbClr val="EA4335"/>
              </a:solidFill>
            </a:ln>
          </c:spPr>
          <c:marker>
            <c:symbol val="none"/>
          </c:marker>
          <c:cat>
            <c:numRef>
              <c:f>'Iteration-2 (Burndown)'!$H$3:$H$16</c:f>
              <c:numCache>
                <c:formatCode>General</c:formatCode>
                <c:ptCount val="14"/>
                <c:pt idx="0">
                  <c:v>0</c:v>
                </c:pt>
                <c:pt idx="1">
                  <c:v>1</c:v>
                </c:pt>
                <c:pt idx="2">
                  <c:v>2</c:v>
                </c:pt>
                <c:pt idx="3">
                  <c:v>3</c:v>
                </c:pt>
                <c:pt idx="4">
                  <c:v>4</c:v>
                </c:pt>
                <c:pt idx="5">
                  <c:v>5</c:v>
                </c:pt>
                <c:pt idx="6">
                  <c:v>6</c:v>
                </c:pt>
                <c:pt idx="7">
                  <c:v>7</c:v>
                </c:pt>
                <c:pt idx="8">
                  <c:v>8</c:v>
                </c:pt>
                <c:pt idx="9">
                  <c:v>9</c:v>
                </c:pt>
                <c:pt idx="10">
                  <c:v>10</c:v>
                </c:pt>
                <c:pt idx="11">
                  <c:v>11</c:v>
                </c:pt>
                <c:pt idx="12">
                  <c:v>12</c:v>
                </c:pt>
                <c:pt idx="13">
                  <c:v>13</c:v>
                </c:pt>
              </c:numCache>
            </c:numRef>
          </c:cat>
          <c:val>
            <c:numRef>
              <c:f>'Iteration-2 (Burndown)'!$J$3:$J$16</c:f>
              <c:numCache>
                <c:formatCode>General</c:formatCode>
                <c:ptCount val="14"/>
                <c:pt idx="0">
                  <c:v>88.5</c:v>
                </c:pt>
                <c:pt idx="1">
                  <c:v>88.5</c:v>
                </c:pt>
                <c:pt idx="2">
                  <c:v>84.5</c:v>
                </c:pt>
                <c:pt idx="3">
                  <c:v>79.5</c:v>
                </c:pt>
                <c:pt idx="4">
                  <c:v>79.5</c:v>
                </c:pt>
                <c:pt idx="5">
                  <c:v>64</c:v>
                </c:pt>
                <c:pt idx="6">
                  <c:v>49.5</c:v>
                </c:pt>
                <c:pt idx="7">
                  <c:v>49.5</c:v>
                </c:pt>
                <c:pt idx="8">
                  <c:v>48</c:v>
                </c:pt>
                <c:pt idx="9">
                  <c:v>44.5</c:v>
                </c:pt>
                <c:pt idx="10">
                  <c:v>43</c:v>
                </c:pt>
                <c:pt idx="11">
                  <c:v>43</c:v>
                </c:pt>
                <c:pt idx="12">
                  <c:v>34.5</c:v>
                </c:pt>
                <c:pt idx="13">
                  <c:v>0</c:v>
                </c:pt>
              </c:numCache>
            </c:numRef>
          </c:val>
          <c:smooth val="0"/>
          <c:extLst>
            <c:ext xmlns:c16="http://schemas.microsoft.com/office/drawing/2014/chart" uri="{C3380CC4-5D6E-409C-BE32-E72D297353CC}">
              <c16:uniqueId val="{00000001-C96F-49D3-B8B2-4B11069A037F}"/>
            </c:ext>
          </c:extLst>
        </c:ser>
        <c:dLbls>
          <c:showLegendKey val="0"/>
          <c:showVal val="0"/>
          <c:showCatName val="0"/>
          <c:showSerName val="0"/>
          <c:showPercent val="0"/>
          <c:showBubbleSize val="0"/>
        </c:dLbls>
        <c:smooth val="0"/>
        <c:axId val="1483235191"/>
        <c:axId val="1183064001"/>
      </c:lineChart>
      <c:catAx>
        <c:axId val="1483235191"/>
        <c:scaling>
          <c:orientation val="minMax"/>
        </c:scaling>
        <c:delete val="0"/>
        <c:axPos val="b"/>
        <c:title>
          <c:tx>
            <c:rich>
              <a:bodyPr/>
              <a:lstStyle/>
              <a:p>
                <a:pPr lvl="0">
                  <a:defRPr b="0">
                    <a:solidFill>
                      <a:srgbClr val="000000"/>
                    </a:solidFill>
                    <a:latin typeface="+mn-lt"/>
                  </a:defRPr>
                </a:pPr>
                <a:endParaRPr lang="en-BE"/>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183064001"/>
        <c:crosses val="autoZero"/>
        <c:auto val="1"/>
        <c:lblAlgn val="ctr"/>
        <c:lblOffset val="100"/>
        <c:noMultiLvlLbl val="1"/>
      </c:catAx>
      <c:valAx>
        <c:axId val="118306400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BE"/>
              </a:p>
            </c:rich>
          </c:tx>
          <c:overlay val="0"/>
        </c:title>
        <c:numFmt formatCode="0.0" sourceLinked="1"/>
        <c:majorTickMark val="none"/>
        <c:minorTickMark val="none"/>
        <c:tickLblPos val="nextTo"/>
        <c:spPr>
          <a:ln/>
        </c:spPr>
        <c:txPr>
          <a:bodyPr/>
          <a:lstStyle/>
          <a:p>
            <a:pPr lvl="0">
              <a:defRPr b="0">
                <a:solidFill>
                  <a:srgbClr val="000000"/>
                </a:solidFill>
                <a:latin typeface="+mn-lt"/>
              </a:defRPr>
            </a:pPr>
            <a:endParaRPr lang="en-US"/>
          </a:p>
        </c:txPr>
        <c:crossAx val="1483235191"/>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tx>
            <c:strRef>
              <c:f>'Iteration-3 (Burndown)'!$I$2</c:f>
              <c:strCache>
                <c:ptCount val="1"/>
                <c:pt idx="0">
                  <c:v>Ideal</c:v>
                </c:pt>
              </c:strCache>
            </c:strRef>
          </c:tx>
          <c:spPr>
            <a:ln cmpd="sng">
              <a:solidFill>
                <a:srgbClr val="4285F4"/>
              </a:solidFill>
            </a:ln>
          </c:spPr>
          <c:marker>
            <c:symbol val="none"/>
          </c:marker>
          <c:cat>
            <c:numRef>
              <c:f>'Iteration-3 (Burndown)'!$H$3:$H$16</c:f>
              <c:numCache>
                <c:formatCode>General</c:formatCode>
                <c:ptCount val="14"/>
                <c:pt idx="0">
                  <c:v>0</c:v>
                </c:pt>
                <c:pt idx="1">
                  <c:v>1</c:v>
                </c:pt>
                <c:pt idx="2">
                  <c:v>2</c:v>
                </c:pt>
                <c:pt idx="3">
                  <c:v>3</c:v>
                </c:pt>
                <c:pt idx="4">
                  <c:v>4</c:v>
                </c:pt>
                <c:pt idx="5">
                  <c:v>5</c:v>
                </c:pt>
                <c:pt idx="6">
                  <c:v>6</c:v>
                </c:pt>
                <c:pt idx="7">
                  <c:v>7</c:v>
                </c:pt>
                <c:pt idx="8">
                  <c:v>8</c:v>
                </c:pt>
                <c:pt idx="9">
                  <c:v>9</c:v>
                </c:pt>
                <c:pt idx="10">
                  <c:v>10</c:v>
                </c:pt>
                <c:pt idx="11">
                  <c:v>11</c:v>
                </c:pt>
                <c:pt idx="12">
                  <c:v>12</c:v>
                </c:pt>
                <c:pt idx="13">
                  <c:v>13</c:v>
                </c:pt>
              </c:numCache>
            </c:numRef>
          </c:cat>
          <c:val>
            <c:numRef>
              <c:f>'Iteration-3 (Burndown)'!$I$3:$I$16</c:f>
              <c:numCache>
                <c:formatCode>0.0</c:formatCode>
                <c:ptCount val="14"/>
                <c:pt idx="0">
                  <c:v>117.5</c:v>
                </c:pt>
                <c:pt idx="1">
                  <c:v>108.46153846153847</c:v>
                </c:pt>
                <c:pt idx="2">
                  <c:v>99.42307692307692</c:v>
                </c:pt>
                <c:pt idx="3">
                  <c:v>90.384615384615373</c:v>
                </c:pt>
                <c:pt idx="4">
                  <c:v>81.34615384615384</c:v>
                </c:pt>
                <c:pt idx="5">
                  <c:v>72.307692307692307</c:v>
                </c:pt>
                <c:pt idx="6">
                  <c:v>63.269230769230766</c:v>
                </c:pt>
                <c:pt idx="7">
                  <c:v>54.230769230769219</c:v>
                </c:pt>
                <c:pt idx="8">
                  <c:v>45.192307692307686</c:v>
                </c:pt>
                <c:pt idx="9">
                  <c:v>36.153846153846153</c:v>
                </c:pt>
                <c:pt idx="10">
                  <c:v>27.11538461538461</c:v>
                </c:pt>
                <c:pt idx="11">
                  <c:v>18.076923076923066</c:v>
                </c:pt>
                <c:pt idx="12">
                  <c:v>9.038461538461533</c:v>
                </c:pt>
                <c:pt idx="13">
                  <c:v>0</c:v>
                </c:pt>
              </c:numCache>
            </c:numRef>
          </c:val>
          <c:smooth val="0"/>
          <c:extLst>
            <c:ext xmlns:c16="http://schemas.microsoft.com/office/drawing/2014/chart" uri="{C3380CC4-5D6E-409C-BE32-E72D297353CC}">
              <c16:uniqueId val="{00000000-B691-405B-A310-E820CF43A810}"/>
            </c:ext>
          </c:extLst>
        </c:ser>
        <c:ser>
          <c:idx val="1"/>
          <c:order val="1"/>
          <c:tx>
            <c:strRef>
              <c:f>'Iteration-3 (Burndown)'!$J$2</c:f>
              <c:strCache>
                <c:ptCount val="1"/>
                <c:pt idx="0">
                  <c:v>Reel</c:v>
                </c:pt>
              </c:strCache>
            </c:strRef>
          </c:tx>
          <c:spPr>
            <a:ln cmpd="sng">
              <a:solidFill>
                <a:srgbClr val="EA4335"/>
              </a:solidFill>
            </a:ln>
          </c:spPr>
          <c:marker>
            <c:symbol val="none"/>
          </c:marker>
          <c:cat>
            <c:numRef>
              <c:f>'Iteration-3 (Burndown)'!$H$3:$H$16</c:f>
              <c:numCache>
                <c:formatCode>General</c:formatCode>
                <c:ptCount val="14"/>
                <c:pt idx="0">
                  <c:v>0</c:v>
                </c:pt>
                <c:pt idx="1">
                  <c:v>1</c:v>
                </c:pt>
                <c:pt idx="2">
                  <c:v>2</c:v>
                </c:pt>
                <c:pt idx="3">
                  <c:v>3</c:v>
                </c:pt>
                <c:pt idx="4">
                  <c:v>4</c:v>
                </c:pt>
                <c:pt idx="5">
                  <c:v>5</c:v>
                </c:pt>
                <c:pt idx="6">
                  <c:v>6</c:v>
                </c:pt>
                <c:pt idx="7">
                  <c:v>7</c:v>
                </c:pt>
                <c:pt idx="8">
                  <c:v>8</c:v>
                </c:pt>
                <c:pt idx="9">
                  <c:v>9</c:v>
                </c:pt>
                <c:pt idx="10">
                  <c:v>10</c:v>
                </c:pt>
                <c:pt idx="11">
                  <c:v>11</c:v>
                </c:pt>
                <c:pt idx="12">
                  <c:v>12</c:v>
                </c:pt>
                <c:pt idx="13">
                  <c:v>13</c:v>
                </c:pt>
              </c:numCache>
            </c:numRef>
          </c:cat>
          <c:val>
            <c:numRef>
              <c:f>'Iteration-3 (Burndown)'!$J$3:$J$16</c:f>
              <c:numCache>
                <c:formatCode>General</c:formatCode>
                <c:ptCount val="14"/>
                <c:pt idx="0">
                  <c:v>102</c:v>
                </c:pt>
                <c:pt idx="1">
                  <c:v>98</c:v>
                </c:pt>
                <c:pt idx="2">
                  <c:v>94.5</c:v>
                </c:pt>
                <c:pt idx="3">
                  <c:v>91.5</c:v>
                </c:pt>
                <c:pt idx="4">
                  <c:v>90.5</c:v>
                </c:pt>
                <c:pt idx="5">
                  <c:v>88</c:v>
                </c:pt>
                <c:pt idx="6">
                  <c:v>82.5</c:v>
                </c:pt>
                <c:pt idx="7">
                  <c:v>75</c:v>
                </c:pt>
                <c:pt idx="8">
                  <c:v>68</c:v>
                </c:pt>
                <c:pt idx="9">
                  <c:v>59</c:v>
                </c:pt>
                <c:pt idx="10">
                  <c:v>36.5</c:v>
                </c:pt>
                <c:pt idx="11">
                  <c:v>30</c:v>
                </c:pt>
                <c:pt idx="12">
                  <c:v>17.5</c:v>
                </c:pt>
                <c:pt idx="13">
                  <c:v>2.5</c:v>
                </c:pt>
              </c:numCache>
            </c:numRef>
          </c:val>
          <c:smooth val="0"/>
          <c:extLst>
            <c:ext xmlns:c16="http://schemas.microsoft.com/office/drawing/2014/chart" uri="{C3380CC4-5D6E-409C-BE32-E72D297353CC}">
              <c16:uniqueId val="{00000001-B691-405B-A310-E820CF43A810}"/>
            </c:ext>
          </c:extLst>
        </c:ser>
        <c:dLbls>
          <c:showLegendKey val="0"/>
          <c:showVal val="0"/>
          <c:showCatName val="0"/>
          <c:showSerName val="0"/>
          <c:showPercent val="0"/>
          <c:showBubbleSize val="0"/>
        </c:dLbls>
        <c:smooth val="0"/>
        <c:axId val="1101296082"/>
        <c:axId val="1384058450"/>
      </c:lineChart>
      <c:catAx>
        <c:axId val="1101296082"/>
        <c:scaling>
          <c:orientation val="minMax"/>
        </c:scaling>
        <c:delete val="0"/>
        <c:axPos val="b"/>
        <c:title>
          <c:tx>
            <c:rich>
              <a:bodyPr/>
              <a:lstStyle/>
              <a:p>
                <a:pPr lvl="0">
                  <a:defRPr b="0">
                    <a:solidFill>
                      <a:srgbClr val="000000"/>
                    </a:solidFill>
                    <a:latin typeface="+mn-lt"/>
                  </a:defRPr>
                </a:pPr>
                <a:endParaRPr lang="en-BE"/>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384058450"/>
        <c:crosses val="autoZero"/>
        <c:auto val="1"/>
        <c:lblAlgn val="ctr"/>
        <c:lblOffset val="100"/>
        <c:noMultiLvlLbl val="1"/>
      </c:catAx>
      <c:valAx>
        <c:axId val="13840584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BE"/>
              </a:p>
            </c:rich>
          </c:tx>
          <c:overlay val="0"/>
        </c:title>
        <c:numFmt formatCode="0.0" sourceLinked="1"/>
        <c:majorTickMark val="none"/>
        <c:minorTickMark val="none"/>
        <c:tickLblPos val="nextTo"/>
        <c:spPr>
          <a:ln/>
        </c:spPr>
        <c:txPr>
          <a:bodyPr/>
          <a:lstStyle/>
          <a:p>
            <a:pPr lvl="0">
              <a:defRPr b="0">
                <a:solidFill>
                  <a:srgbClr val="000000"/>
                </a:solidFill>
                <a:latin typeface="+mn-lt"/>
              </a:defRPr>
            </a:pPr>
            <a:endParaRPr lang="en-US"/>
          </a:p>
        </c:txPr>
        <c:crossAx val="1101296082"/>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tx>
            <c:strRef>
              <c:f>'Iteration-4 (Burndown)'!$I$2</c:f>
              <c:strCache>
                <c:ptCount val="1"/>
                <c:pt idx="0">
                  <c:v>Ideal</c:v>
                </c:pt>
              </c:strCache>
            </c:strRef>
          </c:tx>
          <c:spPr>
            <a:ln cmpd="sng">
              <a:solidFill>
                <a:srgbClr val="4285F4"/>
              </a:solidFill>
            </a:ln>
          </c:spPr>
          <c:marker>
            <c:symbol val="none"/>
          </c:marker>
          <c:cat>
            <c:numRef>
              <c:f>'Iteration-4 (Burndown)'!$H$3:$H$23</c:f>
              <c:numCache>
                <c:formatCode>General</c:formatCode>
                <c:ptCount val="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numCache>
            </c:numRef>
          </c:cat>
          <c:val>
            <c:numRef>
              <c:f>'Iteration-4 (Burndown)'!$I$3:$I$23</c:f>
              <c:numCache>
                <c:formatCode>0.0</c:formatCode>
                <c:ptCount val="21"/>
                <c:pt idx="0">
                  <c:v>128.5</c:v>
                </c:pt>
                <c:pt idx="1">
                  <c:v>122.07499999999999</c:v>
                </c:pt>
                <c:pt idx="2">
                  <c:v>115.65</c:v>
                </c:pt>
                <c:pt idx="3">
                  <c:v>109.22499999999999</c:v>
                </c:pt>
                <c:pt idx="4">
                  <c:v>102.80000000000001</c:v>
                </c:pt>
                <c:pt idx="5">
                  <c:v>96.375</c:v>
                </c:pt>
                <c:pt idx="6">
                  <c:v>89.949999999999989</c:v>
                </c:pt>
                <c:pt idx="7">
                  <c:v>83.524999999999991</c:v>
                </c:pt>
                <c:pt idx="8">
                  <c:v>77.099999999999994</c:v>
                </c:pt>
                <c:pt idx="9">
                  <c:v>70.675000000000011</c:v>
                </c:pt>
                <c:pt idx="10">
                  <c:v>64.25</c:v>
                </c:pt>
                <c:pt idx="11">
                  <c:v>57.824999999999996</c:v>
                </c:pt>
                <c:pt idx="12">
                  <c:v>51.399999999999991</c:v>
                </c:pt>
                <c:pt idx="13">
                  <c:v>44.974999999999994</c:v>
                </c:pt>
                <c:pt idx="14">
                  <c:v>38.54999999999999</c:v>
                </c:pt>
                <c:pt idx="15">
                  <c:v>32.125</c:v>
                </c:pt>
                <c:pt idx="16">
                  <c:v>25.699999999999996</c:v>
                </c:pt>
                <c:pt idx="17">
                  <c:v>19.274999999999988</c:v>
                </c:pt>
                <c:pt idx="18">
                  <c:v>12.849999999999998</c:v>
                </c:pt>
                <c:pt idx="19">
                  <c:v>6.4249999999999918</c:v>
                </c:pt>
                <c:pt idx="20">
                  <c:v>0</c:v>
                </c:pt>
              </c:numCache>
            </c:numRef>
          </c:val>
          <c:smooth val="0"/>
          <c:extLst>
            <c:ext xmlns:c16="http://schemas.microsoft.com/office/drawing/2014/chart" uri="{C3380CC4-5D6E-409C-BE32-E72D297353CC}">
              <c16:uniqueId val="{00000000-12E6-43BD-89AA-643294CDE20D}"/>
            </c:ext>
          </c:extLst>
        </c:ser>
        <c:ser>
          <c:idx val="1"/>
          <c:order val="1"/>
          <c:tx>
            <c:strRef>
              <c:f>'Iteration-4 (Burndown)'!$J$2</c:f>
              <c:strCache>
                <c:ptCount val="1"/>
                <c:pt idx="0">
                  <c:v>Reel</c:v>
                </c:pt>
              </c:strCache>
            </c:strRef>
          </c:tx>
          <c:spPr>
            <a:ln cmpd="sng">
              <a:solidFill>
                <a:srgbClr val="EA4335"/>
              </a:solidFill>
            </a:ln>
          </c:spPr>
          <c:marker>
            <c:symbol val="none"/>
          </c:marker>
          <c:cat>
            <c:numRef>
              <c:f>'Iteration-4 (Burndown)'!$H$3:$H$23</c:f>
              <c:numCache>
                <c:formatCode>General</c:formatCode>
                <c:ptCount val="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numCache>
            </c:numRef>
          </c:cat>
          <c:val>
            <c:numRef>
              <c:f>'Iteration-4 (Burndown)'!$J$3:$J$23</c:f>
              <c:numCache>
                <c:formatCode>General</c:formatCode>
                <c:ptCount val="21"/>
                <c:pt idx="0">
                  <c:v>138</c:v>
                </c:pt>
                <c:pt idx="1">
                  <c:v>138</c:v>
                </c:pt>
                <c:pt idx="2">
                  <c:v>138</c:v>
                </c:pt>
                <c:pt idx="3">
                  <c:v>138</c:v>
                </c:pt>
                <c:pt idx="4">
                  <c:v>135</c:v>
                </c:pt>
                <c:pt idx="5">
                  <c:v>130</c:v>
                </c:pt>
                <c:pt idx="6">
                  <c:v>119</c:v>
                </c:pt>
                <c:pt idx="7">
                  <c:v>113</c:v>
                </c:pt>
                <c:pt idx="8">
                  <c:v>83</c:v>
                </c:pt>
                <c:pt idx="9">
                  <c:v>72</c:v>
                </c:pt>
                <c:pt idx="10">
                  <c:v>58.5</c:v>
                </c:pt>
                <c:pt idx="11">
                  <c:v>49</c:v>
                </c:pt>
                <c:pt idx="12">
                  <c:v>42.5</c:v>
                </c:pt>
                <c:pt idx="13">
                  <c:v>36</c:v>
                </c:pt>
                <c:pt idx="14">
                  <c:v>29.5</c:v>
                </c:pt>
                <c:pt idx="15">
                  <c:v>29.5</c:v>
                </c:pt>
                <c:pt idx="16">
                  <c:v>26.5</c:v>
                </c:pt>
                <c:pt idx="17">
                  <c:v>25</c:v>
                </c:pt>
                <c:pt idx="18">
                  <c:v>22</c:v>
                </c:pt>
                <c:pt idx="19">
                  <c:v>13.5</c:v>
                </c:pt>
                <c:pt idx="20">
                  <c:v>0</c:v>
                </c:pt>
              </c:numCache>
            </c:numRef>
          </c:val>
          <c:smooth val="0"/>
          <c:extLst>
            <c:ext xmlns:c16="http://schemas.microsoft.com/office/drawing/2014/chart" uri="{C3380CC4-5D6E-409C-BE32-E72D297353CC}">
              <c16:uniqueId val="{00000001-12E6-43BD-89AA-643294CDE20D}"/>
            </c:ext>
          </c:extLst>
        </c:ser>
        <c:dLbls>
          <c:showLegendKey val="0"/>
          <c:showVal val="0"/>
          <c:showCatName val="0"/>
          <c:showSerName val="0"/>
          <c:showPercent val="0"/>
          <c:showBubbleSize val="0"/>
        </c:dLbls>
        <c:smooth val="0"/>
        <c:axId val="826697551"/>
        <c:axId val="1990157000"/>
      </c:lineChart>
      <c:catAx>
        <c:axId val="826697551"/>
        <c:scaling>
          <c:orientation val="minMax"/>
        </c:scaling>
        <c:delete val="0"/>
        <c:axPos val="b"/>
        <c:title>
          <c:tx>
            <c:rich>
              <a:bodyPr/>
              <a:lstStyle/>
              <a:p>
                <a:pPr lvl="0">
                  <a:defRPr b="0">
                    <a:solidFill>
                      <a:srgbClr val="000000"/>
                    </a:solidFill>
                    <a:latin typeface="+mn-lt"/>
                  </a:defRPr>
                </a:pPr>
                <a:endParaRPr lang="en-BE"/>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990157000"/>
        <c:crosses val="autoZero"/>
        <c:auto val="1"/>
        <c:lblAlgn val="ctr"/>
        <c:lblOffset val="100"/>
        <c:noMultiLvlLbl val="1"/>
      </c:catAx>
      <c:valAx>
        <c:axId val="19901570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BE"/>
              </a:p>
            </c:rich>
          </c:tx>
          <c:overlay val="0"/>
        </c:title>
        <c:numFmt formatCode="0.0" sourceLinked="1"/>
        <c:majorTickMark val="none"/>
        <c:minorTickMark val="none"/>
        <c:tickLblPos val="nextTo"/>
        <c:spPr>
          <a:ln/>
        </c:spPr>
        <c:txPr>
          <a:bodyPr/>
          <a:lstStyle/>
          <a:p>
            <a:pPr lvl="0">
              <a:defRPr b="0">
                <a:solidFill>
                  <a:srgbClr val="000000"/>
                </a:solidFill>
                <a:latin typeface="+mn-lt"/>
              </a:defRPr>
            </a:pPr>
            <a:endParaRPr lang="en-US"/>
          </a:p>
        </c:txPr>
        <c:crossAx val="826697551"/>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oneCellAnchor>
    <xdr:from>
      <xdr:col>6</xdr:col>
      <xdr:colOff>952500</xdr:colOff>
      <xdr:row>1</xdr:row>
      <xdr:rowOff>85725</xdr:rowOff>
    </xdr:from>
    <xdr:ext cx="5753100" cy="2971800"/>
    <xdr:graphicFrame macro="">
      <xdr:nvGraphicFramePr>
        <xdr:cNvPr id="2" name="Chart 1" title="Chart">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6</xdr:col>
      <xdr:colOff>9525</xdr:colOff>
      <xdr:row>16</xdr:row>
      <xdr:rowOff>114300</xdr:rowOff>
    </xdr:from>
    <xdr:ext cx="6057900" cy="3533775"/>
    <xdr:graphicFrame macro="">
      <xdr:nvGraphicFramePr>
        <xdr:cNvPr id="2" name="Chart 2" title="Chart">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6</xdr:col>
      <xdr:colOff>9525</xdr:colOff>
      <xdr:row>16</xdr:row>
      <xdr:rowOff>114300</xdr:rowOff>
    </xdr:from>
    <xdr:ext cx="6057900" cy="3533775"/>
    <xdr:graphicFrame macro="">
      <xdr:nvGraphicFramePr>
        <xdr:cNvPr id="3" name="Chart 3" title="Chart">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6</xdr:col>
      <xdr:colOff>9525</xdr:colOff>
      <xdr:row>16</xdr:row>
      <xdr:rowOff>114300</xdr:rowOff>
    </xdr:from>
    <xdr:ext cx="6057900" cy="3533775"/>
    <xdr:graphicFrame macro="">
      <xdr:nvGraphicFramePr>
        <xdr:cNvPr id="4" name="Chart 4" title="Chart">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dr:oneCellAnchor>
    <xdr:from>
      <xdr:col>5</xdr:col>
      <xdr:colOff>742950</xdr:colOff>
      <xdr:row>23</xdr:row>
      <xdr:rowOff>190500</xdr:rowOff>
    </xdr:from>
    <xdr:ext cx="6057900" cy="3533775"/>
    <xdr:graphicFrame macro="">
      <xdr:nvGraphicFramePr>
        <xdr:cNvPr id="5" name="Chart 5" title="Chart">
          <a:extLst>
            <a:ext uri="{FF2B5EF4-FFF2-40B4-BE49-F238E27FC236}">
              <a16:creationId xmlns:a16="http://schemas.microsoft.com/office/drawing/2014/main" id="{00000000-0008-0000-09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4:AY14" headerRowCount="0">
  <tableColumns count="51">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 id="19" xr3:uid="{00000000-0010-0000-0000-000013000000}" name="Column19"/>
    <tableColumn id="20" xr3:uid="{00000000-0010-0000-0000-000014000000}" name="Column20"/>
    <tableColumn id="21" xr3:uid="{00000000-0010-0000-0000-000015000000}" name="Column21"/>
    <tableColumn id="22" xr3:uid="{00000000-0010-0000-0000-000016000000}" name="Column22"/>
    <tableColumn id="23" xr3:uid="{00000000-0010-0000-0000-000017000000}" name="Column23"/>
    <tableColumn id="24" xr3:uid="{00000000-0010-0000-0000-000018000000}" name="Column24"/>
    <tableColumn id="25" xr3:uid="{00000000-0010-0000-0000-000019000000}" name="Column25"/>
    <tableColumn id="26" xr3:uid="{00000000-0010-0000-0000-00001A000000}" name="Column26"/>
    <tableColumn id="27" xr3:uid="{00000000-0010-0000-0000-00001B000000}" name="Column27"/>
    <tableColumn id="28" xr3:uid="{00000000-0010-0000-0000-00001C000000}" name="Column28"/>
    <tableColumn id="29" xr3:uid="{00000000-0010-0000-0000-00001D000000}" name="Column29"/>
    <tableColumn id="30" xr3:uid="{00000000-0010-0000-0000-00001E000000}" name="Column30"/>
    <tableColumn id="31" xr3:uid="{00000000-0010-0000-0000-00001F000000}" name="Column31"/>
    <tableColumn id="32" xr3:uid="{00000000-0010-0000-0000-000020000000}" name="Column32"/>
    <tableColumn id="33" xr3:uid="{00000000-0010-0000-0000-000021000000}" name="Column33"/>
    <tableColumn id="34" xr3:uid="{00000000-0010-0000-0000-000022000000}" name="Column34"/>
    <tableColumn id="35" xr3:uid="{00000000-0010-0000-0000-000023000000}" name="Column35"/>
    <tableColumn id="36" xr3:uid="{00000000-0010-0000-0000-000024000000}" name="Column36"/>
    <tableColumn id="37" xr3:uid="{00000000-0010-0000-0000-000025000000}" name="Column37"/>
    <tableColumn id="38" xr3:uid="{00000000-0010-0000-0000-000026000000}" name="Column38"/>
    <tableColumn id="39" xr3:uid="{00000000-0010-0000-0000-000027000000}" name="Column39"/>
    <tableColumn id="40" xr3:uid="{00000000-0010-0000-0000-000028000000}" name="Column40"/>
    <tableColumn id="41" xr3:uid="{00000000-0010-0000-0000-000029000000}" name="Column41"/>
    <tableColumn id="42" xr3:uid="{00000000-0010-0000-0000-00002A000000}" name="Column42"/>
    <tableColumn id="43" xr3:uid="{00000000-0010-0000-0000-00002B000000}" name="Column43"/>
    <tableColumn id="44" xr3:uid="{00000000-0010-0000-0000-00002C000000}" name="Column44"/>
    <tableColumn id="45" xr3:uid="{00000000-0010-0000-0000-00002D000000}" name="Column45"/>
    <tableColumn id="46" xr3:uid="{00000000-0010-0000-0000-00002E000000}" name="Column46"/>
    <tableColumn id="47" xr3:uid="{00000000-0010-0000-0000-00002F000000}" name="Column47"/>
    <tableColumn id="48" xr3:uid="{00000000-0010-0000-0000-000030000000}" name="Column48"/>
    <tableColumn id="49" xr3:uid="{00000000-0010-0000-0000-000031000000}" name="Column49"/>
    <tableColumn id="50" xr3:uid="{00000000-0010-0000-0000-000032000000}" name="Column50"/>
    <tableColumn id="51" xr3:uid="{00000000-0010-0000-0000-000033000000}" name="Column51"/>
  </tableColumns>
  <tableStyleInfo name="Calendar-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J18:AY27" headerRowCount="0">
  <tableColumns count="42">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 id="11" xr3:uid="{00000000-0010-0000-0100-00000B000000}" name="Column11"/>
    <tableColumn id="12" xr3:uid="{00000000-0010-0000-0100-00000C000000}" name="Column12"/>
    <tableColumn id="13" xr3:uid="{00000000-0010-0000-0100-00000D000000}" name="Column13"/>
    <tableColumn id="14" xr3:uid="{00000000-0010-0000-0100-00000E000000}" name="Column14"/>
    <tableColumn id="15" xr3:uid="{00000000-0010-0000-0100-00000F000000}" name="Column15"/>
    <tableColumn id="16" xr3:uid="{00000000-0010-0000-0100-000010000000}" name="Column16"/>
    <tableColumn id="17" xr3:uid="{00000000-0010-0000-0100-000011000000}" name="Column17"/>
    <tableColumn id="18" xr3:uid="{00000000-0010-0000-0100-000012000000}" name="Column18"/>
    <tableColumn id="19" xr3:uid="{00000000-0010-0000-0100-000013000000}" name="Column19"/>
    <tableColumn id="20" xr3:uid="{00000000-0010-0000-0100-000014000000}" name="Column20"/>
    <tableColumn id="21" xr3:uid="{00000000-0010-0000-0100-000015000000}" name="Column21"/>
    <tableColumn id="22" xr3:uid="{00000000-0010-0000-0100-000016000000}" name="Column22"/>
    <tableColumn id="23" xr3:uid="{00000000-0010-0000-0100-000017000000}" name="Column23"/>
    <tableColumn id="24" xr3:uid="{00000000-0010-0000-0100-000018000000}" name="Column24"/>
    <tableColumn id="25" xr3:uid="{00000000-0010-0000-0100-000019000000}" name="Column25"/>
    <tableColumn id="26" xr3:uid="{00000000-0010-0000-0100-00001A000000}" name="Column26"/>
    <tableColumn id="27" xr3:uid="{00000000-0010-0000-0100-00001B000000}" name="Column27"/>
    <tableColumn id="28" xr3:uid="{00000000-0010-0000-0100-00001C000000}" name="Column28"/>
    <tableColumn id="29" xr3:uid="{00000000-0010-0000-0100-00001D000000}" name="Column29"/>
    <tableColumn id="30" xr3:uid="{00000000-0010-0000-0100-00001E000000}" name="Column30"/>
    <tableColumn id="31" xr3:uid="{00000000-0010-0000-0100-00001F000000}" name="Column31"/>
    <tableColumn id="32" xr3:uid="{00000000-0010-0000-0100-000020000000}" name="Column32"/>
    <tableColumn id="33" xr3:uid="{00000000-0010-0000-0100-000021000000}" name="Column33"/>
    <tableColumn id="34" xr3:uid="{00000000-0010-0000-0100-000022000000}" name="Column34"/>
    <tableColumn id="35" xr3:uid="{00000000-0010-0000-0100-000023000000}" name="Column35"/>
    <tableColumn id="36" xr3:uid="{00000000-0010-0000-0100-000024000000}" name="Column36"/>
    <tableColumn id="37" xr3:uid="{00000000-0010-0000-0100-000025000000}" name="Column37"/>
    <tableColumn id="38" xr3:uid="{00000000-0010-0000-0100-000026000000}" name="Column38"/>
    <tableColumn id="39" xr3:uid="{00000000-0010-0000-0100-000027000000}" name="Column39"/>
    <tableColumn id="40" xr3:uid="{00000000-0010-0000-0100-000028000000}" name="Column40"/>
    <tableColumn id="41" xr3:uid="{00000000-0010-0000-0100-000029000000}" name="Column41"/>
    <tableColumn id="42" xr3:uid="{00000000-0010-0000-0100-00002A000000}" name="Column42"/>
  </tableColumns>
  <tableStyleInfo name="Calendar-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32:AY42" headerRowCount="0">
  <tableColumns count="51">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 id="6" xr3:uid="{00000000-0010-0000-0200-000006000000}" name="Column6"/>
    <tableColumn id="7" xr3:uid="{00000000-0010-0000-0200-000007000000}" name="Column7"/>
    <tableColumn id="8" xr3:uid="{00000000-0010-0000-0200-000008000000}" name="Column8"/>
    <tableColumn id="9" xr3:uid="{00000000-0010-0000-0200-000009000000}" name="Column9"/>
    <tableColumn id="10" xr3:uid="{00000000-0010-0000-0200-00000A000000}" name="Column10"/>
    <tableColumn id="11" xr3:uid="{00000000-0010-0000-0200-00000B000000}" name="Column11"/>
    <tableColumn id="12" xr3:uid="{00000000-0010-0000-0200-00000C000000}" name="Column12"/>
    <tableColumn id="13" xr3:uid="{00000000-0010-0000-0200-00000D000000}" name="Column13"/>
    <tableColumn id="14" xr3:uid="{00000000-0010-0000-0200-00000E000000}" name="Column14"/>
    <tableColumn id="15" xr3:uid="{00000000-0010-0000-0200-00000F000000}" name="Column15"/>
    <tableColumn id="16" xr3:uid="{00000000-0010-0000-0200-000010000000}" name="Column16"/>
    <tableColumn id="17" xr3:uid="{00000000-0010-0000-0200-000011000000}" name="Column17"/>
    <tableColumn id="18" xr3:uid="{00000000-0010-0000-0200-000012000000}" name="Column18"/>
    <tableColumn id="19" xr3:uid="{00000000-0010-0000-0200-000013000000}" name="Column19"/>
    <tableColumn id="20" xr3:uid="{00000000-0010-0000-0200-000014000000}" name="Column20"/>
    <tableColumn id="21" xr3:uid="{00000000-0010-0000-0200-000015000000}" name="Column21"/>
    <tableColumn id="22" xr3:uid="{00000000-0010-0000-0200-000016000000}" name="Column22"/>
    <tableColumn id="23" xr3:uid="{00000000-0010-0000-0200-000017000000}" name="Column23"/>
    <tableColumn id="24" xr3:uid="{00000000-0010-0000-0200-000018000000}" name="Column24"/>
    <tableColumn id="25" xr3:uid="{00000000-0010-0000-0200-000019000000}" name="Column25"/>
    <tableColumn id="26" xr3:uid="{00000000-0010-0000-0200-00001A000000}" name="Column26"/>
    <tableColumn id="27" xr3:uid="{00000000-0010-0000-0200-00001B000000}" name="Column27"/>
    <tableColumn id="28" xr3:uid="{00000000-0010-0000-0200-00001C000000}" name="Column28"/>
    <tableColumn id="29" xr3:uid="{00000000-0010-0000-0200-00001D000000}" name="Column29"/>
    <tableColumn id="30" xr3:uid="{00000000-0010-0000-0200-00001E000000}" name="Column30"/>
    <tableColumn id="31" xr3:uid="{00000000-0010-0000-0200-00001F000000}" name="Column31"/>
    <tableColumn id="32" xr3:uid="{00000000-0010-0000-0200-000020000000}" name="Column32"/>
    <tableColumn id="33" xr3:uid="{00000000-0010-0000-0200-000021000000}" name="Column33"/>
    <tableColumn id="34" xr3:uid="{00000000-0010-0000-0200-000022000000}" name="Column34"/>
    <tableColumn id="35" xr3:uid="{00000000-0010-0000-0200-000023000000}" name="Column35"/>
    <tableColumn id="36" xr3:uid="{00000000-0010-0000-0200-000024000000}" name="Column36"/>
    <tableColumn id="37" xr3:uid="{00000000-0010-0000-0200-000025000000}" name="Column37"/>
    <tableColumn id="38" xr3:uid="{00000000-0010-0000-0200-000026000000}" name="Column38"/>
    <tableColumn id="39" xr3:uid="{00000000-0010-0000-0200-000027000000}" name="Column39"/>
    <tableColumn id="40" xr3:uid="{00000000-0010-0000-0200-000028000000}" name="Column40"/>
    <tableColumn id="41" xr3:uid="{00000000-0010-0000-0200-000029000000}" name="Column41"/>
    <tableColumn id="42" xr3:uid="{00000000-0010-0000-0200-00002A000000}" name="Column42"/>
    <tableColumn id="43" xr3:uid="{00000000-0010-0000-0200-00002B000000}" name="Column43"/>
    <tableColumn id="44" xr3:uid="{00000000-0010-0000-0200-00002C000000}" name="Column44"/>
    <tableColumn id="45" xr3:uid="{00000000-0010-0000-0200-00002D000000}" name="Column45"/>
    <tableColumn id="46" xr3:uid="{00000000-0010-0000-0200-00002E000000}" name="Column46"/>
    <tableColumn id="47" xr3:uid="{00000000-0010-0000-0200-00002F000000}" name="Column47"/>
    <tableColumn id="48" xr3:uid="{00000000-0010-0000-0200-000030000000}" name="Column48"/>
    <tableColumn id="49" xr3:uid="{00000000-0010-0000-0200-000031000000}" name="Column49"/>
    <tableColumn id="50" xr3:uid="{00000000-0010-0000-0200-000032000000}" name="Column50"/>
    <tableColumn id="51" xr3:uid="{00000000-0010-0000-0200-000033000000}" name="Column51"/>
  </tableColumns>
  <tableStyleInfo name="Calendar-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1:F31" headerRowCount="0">
  <tableColumns count="6">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tableColumn id="6" xr3:uid="{00000000-0010-0000-0300-000006000000}" name="Column6"/>
  </tableColumns>
  <tableStyleInfo name="Burndown Overview-style" showFirstColumn="1" showLastColumn="1" showRowStripes="1" showColumnStripes="0"/>
  <extLst>
    <ext uri="GoogleSheetsCustomDataVersion1">
      <go:sheetsCustomData xmlns:go="http://customooxmlschemas.google.com/" headerRowCount="1"/>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G3:N16" headerRowCount="0">
  <tableColumns count="8">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 id="7" xr3:uid="{00000000-0010-0000-0400-000007000000}" name="Column7"/>
    <tableColumn id="8" xr3:uid="{00000000-0010-0000-0400-000008000000}" name="Column8"/>
  </tableColumns>
  <tableStyleInfo name="Iteration-1 (Burndown)-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G3:AB16" headerRowCount="0">
  <tableColumns count="22">
    <tableColumn id="1" xr3:uid="{00000000-0010-0000-0500-000001000000}" name="Column1"/>
    <tableColumn id="2" xr3:uid="{00000000-0010-0000-0500-000002000000}" name="Column2"/>
    <tableColumn id="3" xr3:uid="{00000000-0010-0000-0500-000003000000}" name="Column3"/>
    <tableColumn id="4" xr3:uid="{00000000-0010-0000-0500-000004000000}" name="Column4"/>
    <tableColumn id="5" xr3:uid="{00000000-0010-0000-0500-000005000000}" name="Column5"/>
    <tableColumn id="6" xr3:uid="{00000000-0010-0000-0500-000006000000}" name="Column6"/>
    <tableColumn id="7" xr3:uid="{00000000-0010-0000-0500-000007000000}" name="Column7"/>
    <tableColumn id="8" xr3:uid="{00000000-0010-0000-0500-000008000000}" name="Column8"/>
    <tableColumn id="9" xr3:uid="{00000000-0010-0000-0500-000009000000}" name="Column9"/>
    <tableColumn id="10" xr3:uid="{00000000-0010-0000-0500-00000A000000}" name="Column10"/>
    <tableColumn id="11" xr3:uid="{00000000-0010-0000-0500-00000B000000}" name="Column11"/>
    <tableColumn id="12" xr3:uid="{00000000-0010-0000-0500-00000C000000}" name="Column12"/>
    <tableColumn id="13" xr3:uid="{00000000-0010-0000-0500-00000D000000}" name="Column13"/>
    <tableColumn id="14" xr3:uid="{00000000-0010-0000-0500-00000E000000}" name="Column14"/>
    <tableColumn id="15" xr3:uid="{00000000-0010-0000-0500-00000F000000}" name="Column15"/>
    <tableColumn id="16" xr3:uid="{00000000-0010-0000-0500-000010000000}" name="Column16"/>
    <tableColumn id="17" xr3:uid="{00000000-0010-0000-0500-000011000000}" name="Column17"/>
    <tableColumn id="18" xr3:uid="{00000000-0010-0000-0500-000012000000}" name="Column18"/>
    <tableColumn id="19" xr3:uid="{00000000-0010-0000-0500-000013000000}" name="Column19"/>
    <tableColumn id="20" xr3:uid="{00000000-0010-0000-0500-000014000000}" name="Column20"/>
    <tableColumn id="21" xr3:uid="{00000000-0010-0000-0500-000015000000}" name="Column21"/>
    <tableColumn id="22" xr3:uid="{00000000-0010-0000-0500-000016000000}" name="Column22"/>
  </tableColumns>
  <tableStyleInfo name="Iteration-2 (Burndown)-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G3:T16" headerRowCount="0">
  <tableColumns count="14">
    <tableColumn id="1" xr3:uid="{00000000-0010-0000-0600-000001000000}" name="Column1"/>
    <tableColumn id="2" xr3:uid="{00000000-0010-0000-0600-000002000000}" name="Column2"/>
    <tableColumn id="3" xr3:uid="{00000000-0010-0000-0600-000003000000}" name="Column3"/>
    <tableColumn id="4" xr3:uid="{00000000-0010-0000-0600-000004000000}" name="Column4"/>
    <tableColumn id="5" xr3:uid="{00000000-0010-0000-0600-000005000000}" name="Column5"/>
    <tableColumn id="6" xr3:uid="{00000000-0010-0000-0600-000006000000}" name="Column6"/>
    <tableColumn id="7" xr3:uid="{00000000-0010-0000-0600-000007000000}" name="Column7"/>
    <tableColumn id="8" xr3:uid="{00000000-0010-0000-0600-000008000000}" name="Column8"/>
    <tableColumn id="9" xr3:uid="{00000000-0010-0000-0600-000009000000}" name="Column9"/>
    <tableColumn id="10" xr3:uid="{00000000-0010-0000-0600-00000A000000}" name="Column10"/>
    <tableColumn id="11" xr3:uid="{00000000-0010-0000-0600-00000B000000}" name="Column11"/>
    <tableColumn id="12" xr3:uid="{00000000-0010-0000-0600-00000C000000}" name="Column12"/>
    <tableColumn id="13" xr3:uid="{00000000-0010-0000-0600-00000D000000}" name="Column13"/>
    <tableColumn id="14" xr3:uid="{00000000-0010-0000-0600-00000E000000}" name="Column14"/>
  </tableColumns>
  <tableStyleInfo name="Iteration-3 (Burndown)-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G3:T23" headerRowCount="0">
  <tableColumns count="14">
    <tableColumn id="1" xr3:uid="{00000000-0010-0000-0700-000001000000}" name="Column1"/>
    <tableColumn id="2" xr3:uid="{00000000-0010-0000-0700-000002000000}" name="Column2"/>
    <tableColumn id="3" xr3:uid="{00000000-0010-0000-0700-000003000000}" name="Column3"/>
    <tableColumn id="4" xr3:uid="{00000000-0010-0000-0700-000004000000}" name="Column4"/>
    <tableColumn id="5" xr3:uid="{00000000-0010-0000-0700-000005000000}" name="Column5"/>
    <tableColumn id="6" xr3:uid="{00000000-0010-0000-0700-000006000000}" name="Column6"/>
    <tableColumn id="7" xr3:uid="{00000000-0010-0000-0700-000007000000}" name="Column7"/>
    <tableColumn id="8" xr3:uid="{00000000-0010-0000-0700-000008000000}" name="Column8"/>
    <tableColumn id="9" xr3:uid="{00000000-0010-0000-0700-000009000000}" name="Column9"/>
    <tableColumn id="10" xr3:uid="{00000000-0010-0000-0700-00000A000000}" name="Column10"/>
    <tableColumn id="11" xr3:uid="{00000000-0010-0000-0700-00000B000000}" name="Column11"/>
    <tableColumn id="12" xr3:uid="{00000000-0010-0000-0700-00000C000000}" name="Column12"/>
    <tableColumn id="13" xr3:uid="{00000000-0010-0000-0700-00000D000000}" name="Column13"/>
    <tableColumn id="14" xr3:uid="{00000000-0010-0000-0700-00000E000000}" name="Column14"/>
  </tableColumns>
  <tableStyleInfo name="Iteration-4 (Burndow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7BB8A"/>
    <outlinePr summaryBelow="0" summaryRight="0"/>
  </sheetPr>
  <dimension ref="A1:O23"/>
  <sheetViews>
    <sheetView workbookViewId="0">
      <selection activeCell="B26" sqref="B26"/>
    </sheetView>
  </sheetViews>
  <sheetFormatPr defaultColWidth="12.5546875" defaultRowHeight="15.75" customHeight="1"/>
  <cols>
    <col min="1" max="1" width="9.44140625" customWidth="1"/>
    <col min="2" max="2" width="37.5546875" customWidth="1"/>
    <col min="3" max="3" width="21" customWidth="1"/>
    <col min="4" max="15" width="9.44140625" customWidth="1"/>
  </cols>
  <sheetData>
    <row r="1" spans="1:15">
      <c r="A1" s="1" t="s">
        <v>0</v>
      </c>
      <c r="B1" s="1" t="s">
        <v>1</v>
      </c>
      <c r="C1" s="1" t="s">
        <v>2</v>
      </c>
      <c r="D1" s="1" t="s">
        <v>3</v>
      </c>
      <c r="E1" s="1" t="s">
        <v>4</v>
      </c>
      <c r="F1" s="1" t="s">
        <v>5</v>
      </c>
      <c r="G1" s="1" t="s">
        <v>6</v>
      </c>
      <c r="H1" s="1" t="s">
        <v>7</v>
      </c>
      <c r="I1" s="1" t="s">
        <v>8</v>
      </c>
      <c r="J1" s="1"/>
    </row>
    <row r="2" spans="1:15">
      <c r="A2" s="2">
        <v>1</v>
      </c>
      <c r="B2" s="3" t="s">
        <v>9</v>
      </c>
      <c r="C2" s="3"/>
      <c r="D2" s="2">
        <v>1</v>
      </c>
      <c r="E2" s="2">
        <v>1</v>
      </c>
      <c r="F2" s="2">
        <v>23</v>
      </c>
      <c r="G2" s="2">
        <v>35.5</v>
      </c>
      <c r="H2" s="2">
        <v>1</v>
      </c>
      <c r="I2" s="2" t="s">
        <v>10</v>
      </c>
      <c r="J2" s="2"/>
      <c r="K2" s="4" t="s">
        <v>7</v>
      </c>
      <c r="L2" s="5" t="s">
        <v>5</v>
      </c>
      <c r="M2" s="5" t="s">
        <v>11</v>
      </c>
      <c r="N2" s="6" t="s">
        <v>12</v>
      </c>
    </row>
    <row r="3" spans="1:15">
      <c r="A3" s="2">
        <v>2</v>
      </c>
      <c r="B3" s="7" t="s">
        <v>13</v>
      </c>
      <c r="C3" s="7"/>
      <c r="D3" s="2">
        <v>1</v>
      </c>
      <c r="E3" s="2">
        <v>2</v>
      </c>
      <c r="F3" s="2">
        <v>48.5</v>
      </c>
      <c r="G3" s="2">
        <v>43</v>
      </c>
      <c r="H3" s="2">
        <v>2</v>
      </c>
      <c r="I3" s="2" t="s">
        <v>10</v>
      </c>
      <c r="J3" s="2"/>
      <c r="K3" s="8">
        <v>1</v>
      </c>
      <c r="L3" s="3">
        <f t="shared" ref="L3:L6" si="0">SUMIF($H$2:$H$23,$K3,$F$2:$F$23)</f>
        <v>38</v>
      </c>
      <c r="M3" s="3">
        <v>0</v>
      </c>
      <c r="N3" s="9">
        <f t="shared" ref="N3:N6" si="1">L3+M3</f>
        <v>38</v>
      </c>
    </row>
    <row r="4" spans="1:15">
      <c r="A4" s="2">
        <v>3</v>
      </c>
      <c r="B4" s="7" t="s">
        <v>14</v>
      </c>
      <c r="C4" s="7"/>
      <c r="D4" s="2">
        <v>1</v>
      </c>
      <c r="E4" s="2">
        <v>1</v>
      </c>
      <c r="F4" s="2">
        <v>15</v>
      </c>
      <c r="G4" s="2">
        <v>17</v>
      </c>
      <c r="H4" s="2">
        <v>1</v>
      </c>
      <c r="I4" s="2" t="s">
        <v>10</v>
      </c>
      <c r="J4" s="2"/>
      <c r="K4" s="8">
        <v>2</v>
      </c>
      <c r="L4" s="3">
        <f t="shared" si="0"/>
        <v>88.5</v>
      </c>
      <c r="M4" s="3">
        <v>18</v>
      </c>
      <c r="N4" s="9">
        <f t="shared" si="1"/>
        <v>106.5</v>
      </c>
    </row>
    <row r="5" spans="1:15">
      <c r="A5" s="2">
        <v>4</v>
      </c>
      <c r="B5" s="7" t="s">
        <v>15</v>
      </c>
      <c r="C5" s="7"/>
      <c r="D5" s="2">
        <v>1</v>
      </c>
      <c r="E5" s="2">
        <v>2</v>
      </c>
      <c r="F5" s="2">
        <v>13</v>
      </c>
      <c r="G5" s="2">
        <v>8</v>
      </c>
      <c r="H5" s="2">
        <v>2</v>
      </c>
      <c r="I5" s="2" t="s">
        <v>10</v>
      </c>
      <c r="J5" s="2"/>
      <c r="K5" s="8">
        <v>3</v>
      </c>
      <c r="L5" s="3">
        <f t="shared" si="0"/>
        <v>105</v>
      </c>
      <c r="M5" s="3">
        <v>15</v>
      </c>
      <c r="N5" s="9">
        <f t="shared" si="1"/>
        <v>120</v>
      </c>
    </row>
    <row r="6" spans="1:15">
      <c r="A6" s="2">
        <v>5</v>
      </c>
      <c r="B6" s="7" t="s">
        <v>16</v>
      </c>
      <c r="C6" s="7" t="s">
        <v>17</v>
      </c>
      <c r="D6" s="2">
        <v>2</v>
      </c>
      <c r="E6" s="2"/>
      <c r="F6" s="2"/>
      <c r="G6" s="2"/>
      <c r="H6" s="2"/>
      <c r="I6" s="2" t="s">
        <v>10</v>
      </c>
      <c r="J6" s="2"/>
      <c r="K6" s="10">
        <v>4</v>
      </c>
      <c r="L6" s="11">
        <f t="shared" si="0"/>
        <v>102</v>
      </c>
      <c r="M6" s="11">
        <v>30</v>
      </c>
      <c r="N6" s="12">
        <f t="shared" si="1"/>
        <v>132</v>
      </c>
      <c r="O6" s="3"/>
    </row>
    <row r="7" spans="1:15">
      <c r="A7" s="2">
        <v>6</v>
      </c>
      <c r="B7" s="13" t="s">
        <v>18</v>
      </c>
      <c r="C7" s="13"/>
      <c r="D7" s="2">
        <v>2</v>
      </c>
      <c r="E7" s="2">
        <v>2</v>
      </c>
      <c r="F7" s="2">
        <v>27</v>
      </c>
      <c r="G7" s="2">
        <v>21</v>
      </c>
      <c r="H7" s="2">
        <v>2</v>
      </c>
      <c r="I7" s="2" t="s">
        <v>10</v>
      </c>
      <c r="J7" s="2"/>
      <c r="K7" s="3"/>
      <c r="L7" s="3"/>
      <c r="M7" s="3"/>
      <c r="N7" s="3"/>
      <c r="O7" s="3"/>
    </row>
    <row r="8" spans="1:15">
      <c r="A8" s="2">
        <v>7</v>
      </c>
      <c r="B8" s="7" t="s">
        <v>19</v>
      </c>
      <c r="C8" s="7"/>
      <c r="D8" s="2">
        <v>3</v>
      </c>
      <c r="E8" s="2"/>
      <c r="F8" s="2"/>
      <c r="G8" s="2"/>
      <c r="H8" s="2"/>
      <c r="I8" s="2" t="s">
        <v>20</v>
      </c>
      <c r="J8" s="2"/>
      <c r="K8" s="4" t="s">
        <v>7</v>
      </c>
      <c r="L8" s="5" t="s">
        <v>6</v>
      </c>
      <c r="M8" s="5" t="s">
        <v>11</v>
      </c>
      <c r="N8" s="6" t="s">
        <v>12</v>
      </c>
      <c r="O8" s="3"/>
    </row>
    <row r="9" spans="1:15">
      <c r="A9" s="2">
        <v>8</v>
      </c>
      <c r="B9" s="7" t="s">
        <v>21</v>
      </c>
      <c r="C9" s="7"/>
      <c r="D9" s="2">
        <v>2</v>
      </c>
      <c r="E9" s="2">
        <v>1</v>
      </c>
      <c r="F9" s="2">
        <v>35</v>
      </c>
      <c r="G9" s="2">
        <v>16</v>
      </c>
      <c r="H9" s="2">
        <v>4</v>
      </c>
      <c r="I9" s="2" t="s">
        <v>10</v>
      </c>
      <c r="J9" s="2"/>
      <c r="K9" s="8">
        <v>1</v>
      </c>
      <c r="L9" s="3">
        <f t="shared" ref="L9:L12" si="2">SUMIF($H$2:$H$23,$K9,$G$2:$G$23)</f>
        <v>52.5</v>
      </c>
      <c r="M9" s="3">
        <v>0</v>
      </c>
      <c r="N9" s="9">
        <f t="shared" ref="N9:N12" si="3">L9+M9</f>
        <v>52.5</v>
      </c>
      <c r="O9" s="3"/>
    </row>
    <row r="10" spans="1:15">
      <c r="A10" s="2">
        <v>9</v>
      </c>
      <c r="B10" s="7" t="s">
        <v>22</v>
      </c>
      <c r="C10" s="7"/>
      <c r="D10" s="2">
        <v>3</v>
      </c>
      <c r="E10" s="2">
        <v>3</v>
      </c>
      <c r="F10" s="2">
        <v>30</v>
      </c>
      <c r="G10" s="2">
        <v>37</v>
      </c>
      <c r="H10" s="2">
        <v>4</v>
      </c>
      <c r="I10" s="2" t="s">
        <v>10</v>
      </c>
      <c r="J10" s="2"/>
      <c r="K10" s="8">
        <v>2</v>
      </c>
      <c r="L10" s="3">
        <f t="shared" si="2"/>
        <v>72</v>
      </c>
      <c r="M10" s="3">
        <v>16.5</v>
      </c>
      <c r="N10" s="9">
        <f t="shared" si="3"/>
        <v>88.5</v>
      </c>
      <c r="O10" s="3"/>
    </row>
    <row r="11" spans="1:15">
      <c r="A11" s="2">
        <v>10</v>
      </c>
      <c r="B11" s="7" t="s">
        <v>23</v>
      </c>
      <c r="C11" s="7" t="s">
        <v>24</v>
      </c>
      <c r="D11" s="2">
        <v>2</v>
      </c>
      <c r="E11" s="2">
        <v>1</v>
      </c>
      <c r="F11" s="2">
        <v>50</v>
      </c>
      <c r="G11" s="2">
        <v>43</v>
      </c>
      <c r="H11" s="2">
        <v>3</v>
      </c>
      <c r="I11" s="2" t="s">
        <v>10</v>
      </c>
      <c r="J11" s="2"/>
      <c r="K11" s="8">
        <v>3</v>
      </c>
      <c r="L11" s="3">
        <f t="shared" si="2"/>
        <v>81</v>
      </c>
      <c r="M11" s="3">
        <v>26</v>
      </c>
      <c r="N11" s="9">
        <f t="shared" si="3"/>
        <v>107</v>
      </c>
      <c r="O11" s="3"/>
    </row>
    <row r="12" spans="1:15">
      <c r="A12" s="2">
        <v>11</v>
      </c>
      <c r="B12" s="7" t="s">
        <v>25</v>
      </c>
      <c r="C12" s="13"/>
      <c r="D12" s="2">
        <v>3</v>
      </c>
      <c r="E12" s="2">
        <v>3</v>
      </c>
      <c r="F12" s="2">
        <v>25</v>
      </c>
      <c r="G12" s="2">
        <v>18.5</v>
      </c>
      <c r="H12" s="2">
        <v>4</v>
      </c>
      <c r="I12" s="2" t="s">
        <v>10</v>
      </c>
      <c r="J12" s="2"/>
      <c r="K12" s="10">
        <v>4</v>
      </c>
      <c r="L12" s="11">
        <f t="shared" si="2"/>
        <v>74.5</v>
      </c>
      <c r="M12" s="11">
        <v>63</v>
      </c>
      <c r="N12" s="12">
        <f t="shared" si="3"/>
        <v>137.5</v>
      </c>
      <c r="O12" s="3"/>
    </row>
    <row r="13" spans="1:15">
      <c r="A13" s="2">
        <v>12</v>
      </c>
      <c r="B13" s="7" t="s">
        <v>26</v>
      </c>
      <c r="C13" s="7"/>
      <c r="D13" s="2">
        <v>3</v>
      </c>
      <c r="E13" s="2"/>
      <c r="F13" s="2"/>
      <c r="G13" s="2"/>
      <c r="H13" s="2"/>
      <c r="I13" s="2" t="s">
        <v>20</v>
      </c>
      <c r="J13" s="2"/>
      <c r="K13" s="3"/>
      <c r="L13" s="3"/>
      <c r="M13" s="3"/>
      <c r="N13" s="3"/>
      <c r="O13" s="3"/>
    </row>
    <row r="14" spans="1:15">
      <c r="A14" s="2">
        <v>13</v>
      </c>
      <c r="B14" s="7" t="s">
        <v>27</v>
      </c>
      <c r="C14" s="7" t="s">
        <v>28</v>
      </c>
      <c r="D14" s="2">
        <v>3</v>
      </c>
      <c r="E14" s="2"/>
      <c r="F14" s="2"/>
      <c r="G14" s="2"/>
      <c r="H14" s="2"/>
      <c r="I14" s="2" t="s">
        <v>20</v>
      </c>
      <c r="J14" s="2"/>
      <c r="K14" s="3"/>
      <c r="L14" s="3"/>
      <c r="M14" s="3"/>
      <c r="N14" s="3"/>
      <c r="O14" s="3"/>
    </row>
    <row r="15" spans="1:15">
      <c r="A15" s="2">
        <v>14</v>
      </c>
      <c r="B15" s="13" t="s">
        <v>29</v>
      </c>
      <c r="C15" s="13"/>
      <c r="D15" s="2">
        <v>3</v>
      </c>
      <c r="E15" s="2">
        <v>3</v>
      </c>
      <c r="F15" s="2">
        <v>12</v>
      </c>
      <c r="G15" s="2">
        <v>3</v>
      </c>
      <c r="H15" s="2">
        <v>4</v>
      </c>
      <c r="I15" s="2" t="s">
        <v>10</v>
      </c>
      <c r="J15" s="2"/>
      <c r="K15" s="3"/>
      <c r="L15" s="3"/>
      <c r="M15" s="3"/>
      <c r="N15" s="3"/>
      <c r="O15" s="3"/>
    </row>
    <row r="16" spans="1:15">
      <c r="A16" s="2">
        <v>15</v>
      </c>
      <c r="B16" s="7" t="s">
        <v>30</v>
      </c>
      <c r="C16" s="7"/>
      <c r="D16" s="2">
        <v>2</v>
      </c>
      <c r="E16" s="2">
        <v>2</v>
      </c>
      <c r="F16" s="2">
        <v>10</v>
      </c>
      <c r="G16" s="2">
        <v>8.5</v>
      </c>
      <c r="H16" s="2">
        <v>3</v>
      </c>
      <c r="I16" s="2" t="s">
        <v>10</v>
      </c>
      <c r="J16" s="2"/>
      <c r="K16" s="3"/>
      <c r="L16" s="3"/>
      <c r="M16" s="3"/>
      <c r="N16" s="3"/>
      <c r="O16" s="3"/>
    </row>
    <row r="17" spans="1:15">
      <c r="A17" s="2">
        <v>16</v>
      </c>
      <c r="B17" s="7" t="s">
        <v>31</v>
      </c>
      <c r="C17" s="7"/>
      <c r="D17" s="2">
        <v>2</v>
      </c>
      <c r="E17" s="2">
        <v>2</v>
      </c>
      <c r="F17" s="2">
        <v>15</v>
      </c>
      <c r="G17" s="2">
        <v>7</v>
      </c>
      <c r="H17" s="2">
        <v>3</v>
      </c>
      <c r="I17" s="2" t="s">
        <v>10</v>
      </c>
      <c r="J17" s="2"/>
      <c r="K17" s="3"/>
      <c r="L17" s="3"/>
      <c r="M17" s="3"/>
      <c r="N17" s="3"/>
      <c r="O17" s="3"/>
    </row>
    <row r="18" spans="1:15">
      <c r="A18" s="2">
        <v>17</v>
      </c>
      <c r="B18" s="7" t="s">
        <v>32</v>
      </c>
      <c r="C18" s="7"/>
      <c r="D18" s="2">
        <v>1</v>
      </c>
      <c r="E18" s="2">
        <v>1</v>
      </c>
      <c r="F18" s="2">
        <v>30</v>
      </c>
      <c r="G18" s="2">
        <v>22.5</v>
      </c>
      <c r="H18" s="2">
        <v>3</v>
      </c>
      <c r="I18" s="2" t="s">
        <v>10</v>
      </c>
      <c r="J18" s="2"/>
      <c r="K18" s="3"/>
      <c r="L18" s="3"/>
      <c r="M18" s="3"/>
      <c r="N18" s="3"/>
      <c r="O18" s="3"/>
    </row>
    <row r="19" spans="1:15">
      <c r="A19" s="2">
        <v>18</v>
      </c>
      <c r="B19" s="7" t="s">
        <v>33</v>
      </c>
      <c r="C19" s="7"/>
      <c r="D19" s="2">
        <v>3</v>
      </c>
      <c r="E19" s="2"/>
      <c r="F19" s="2"/>
      <c r="G19" s="14"/>
      <c r="H19" s="2"/>
      <c r="I19" s="2" t="s">
        <v>20</v>
      </c>
      <c r="J19" s="2"/>
      <c r="K19" s="3"/>
      <c r="L19" s="3"/>
      <c r="M19" s="3"/>
      <c r="N19" s="3"/>
      <c r="O19" s="3"/>
    </row>
    <row r="20" spans="1:15">
      <c r="A20" s="2">
        <v>19</v>
      </c>
      <c r="B20" s="7" t="s">
        <v>34</v>
      </c>
      <c r="C20" s="7"/>
      <c r="D20" s="2">
        <v>3</v>
      </c>
      <c r="E20" s="2"/>
      <c r="F20" s="2"/>
      <c r="G20" s="2"/>
      <c r="H20" s="2"/>
      <c r="I20" s="2" t="s">
        <v>20</v>
      </c>
      <c r="J20" s="2"/>
      <c r="K20" s="3"/>
      <c r="L20" s="3"/>
      <c r="M20" s="3"/>
      <c r="N20" s="3"/>
      <c r="O20" s="3"/>
    </row>
    <row r="21" spans="1:15">
      <c r="A21" s="2">
        <v>20</v>
      </c>
      <c r="B21" s="7" t="s">
        <v>35</v>
      </c>
      <c r="C21" s="7"/>
      <c r="D21" s="2">
        <v>2</v>
      </c>
      <c r="E21" s="2"/>
      <c r="F21" s="2"/>
      <c r="G21" s="2"/>
      <c r="H21" s="2"/>
      <c r="I21" s="2" t="s">
        <v>20</v>
      </c>
      <c r="J21" s="2"/>
      <c r="K21" s="3"/>
      <c r="L21" s="3"/>
      <c r="M21" s="3"/>
      <c r="N21" s="3"/>
      <c r="O21" s="3"/>
    </row>
    <row r="22" spans="1:15">
      <c r="A22" s="2">
        <v>21</v>
      </c>
      <c r="B22" s="13" t="s">
        <v>36</v>
      </c>
      <c r="C22" s="13"/>
      <c r="D22" s="2">
        <v>3</v>
      </c>
      <c r="E22" s="2"/>
      <c r="F22" s="2"/>
      <c r="G22" s="2"/>
      <c r="H22" s="2"/>
      <c r="I22" s="2" t="s">
        <v>20</v>
      </c>
      <c r="J22" s="2"/>
      <c r="K22" s="3"/>
      <c r="L22" s="3"/>
      <c r="M22" s="3"/>
      <c r="N22" s="3"/>
      <c r="O22" s="3"/>
    </row>
    <row r="23" spans="1:15">
      <c r="A23" s="2">
        <v>22</v>
      </c>
      <c r="B23" s="13" t="s">
        <v>37</v>
      </c>
      <c r="C23" s="13"/>
      <c r="D23" s="2">
        <v>3</v>
      </c>
      <c r="E23" s="2"/>
      <c r="F23" s="2"/>
      <c r="G23" s="2"/>
      <c r="H23" s="2"/>
      <c r="I23" s="2" t="s">
        <v>20</v>
      </c>
      <c r="J23" s="2"/>
      <c r="K23" s="3"/>
      <c r="L23" s="3"/>
      <c r="M23" s="3"/>
      <c r="N23" s="3"/>
      <c r="O23" s="3"/>
    </row>
  </sheetData>
  <autoFilter ref="A1:I23" xr:uid="{00000000-0009-0000-0000-000001000000}"/>
  <conditionalFormatting sqref="A2:I23">
    <cfRule type="expression" dxfId="8" priority="1">
      <formula>$I2 = "Skip"</formula>
    </cfRule>
    <cfRule type="expression" dxfId="7" priority="2">
      <formula>$I2 = "Done"</formula>
    </cfRule>
    <cfRule type="expression" dxfId="6" priority="4">
      <formula>$I2 = "Progress"</formula>
    </cfRule>
  </conditionalFormatting>
  <conditionalFormatting sqref="D1:D1000">
    <cfRule type="colorScale" priority="3">
      <colorScale>
        <cfvo type="min"/>
        <cfvo type="max"/>
        <color rgb="FFE67C73"/>
        <color rgb="FFFFFFFF"/>
      </colorScale>
    </cfRule>
  </conditionalFormatting>
  <pageMargins left="0" right="0" top="0" bottom="0" header="0" footer="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6AA84F"/>
    <outlinePr summaryBelow="0" summaryRight="0"/>
  </sheetPr>
  <dimension ref="A1:H998"/>
  <sheetViews>
    <sheetView workbookViewId="0">
      <selection sqref="A1:H1"/>
    </sheetView>
  </sheetViews>
  <sheetFormatPr defaultColWidth="12.5546875" defaultRowHeight="15.75" customHeight="1"/>
  <cols>
    <col min="4" max="4" width="60.44140625" customWidth="1"/>
    <col min="5" max="5" width="17.5546875" customWidth="1"/>
  </cols>
  <sheetData>
    <row r="1" spans="1:8" ht="211.5" customHeight="1">
      <c r="A1" s="117" t="s">
        <v>38</v>
      </c>
      <c r="B1" s="118"/>
      <c r="C1" s="118"/>
      <c r="D1" s="118"/>
      <c r="E1" s="118"/>
      <c r="F1" s="118"/>
      <c r="G1" s="118"/>
      <c r="H1" s="119"/>
    </row>
    <row r="2" spans="1:8" ht="13.5" customHeight="1">
      <c r="A2" s="15"/>
      <c r="B2" s="16"/>
      <c r="C2" s="16"/>
      <c r="D2" s="16"/>
      <c r="E2" s="16"/>
      <c r="F2" s="16"/>
      <c r="G2" s="16"/>
      <c r="H2" s="16"/>
    </row>
    <row r="3" spans="1:8" ht="13.2">
      <c r="A3" s="17" t="s">
        <v>39</v>
      </c>
      <c r="B3" s="17" t="s">
        <v>7</v>
      </c>
      <c r="C3" s="17" t="s">
        <v>0</v>
      </c>
      <c r="D3" s="18" t="s">
        <v>1</v>
      </c>
      <c r="E3" s="17" t="s">
        <v>40</v>
      </c>
      <c r="F3" s="17" t="s">
        <v>41</v>
      </c>
      <c r="G3" s="17" t="s">
        <v>42</v>
      </c>
      <c r="H3" s="17" t="s">
        <v>43</v>
      </c>
    </row>
    <row r="4" spans="1:8" ht="13.8">
      <c r="A4" s="19" t="s">
        <v>44</v>
      </c>
      <c r="B4" s="19">
        <f>IFERROR(VLOOKUP(A4, Tasks!A$42:E$133,2, FALSE), "")</f>
        <v>2</v>
      </c>
      <c r="C4" s="19" t="str">
        <f>IFERROR(VLOOKUP(A4, Tasks!A$42:E$133,3, FALSE), "")</f>
        <v>C2</v>
      </c>
      <c r="D4" s="20" t="str">
        <f>IFERROR(VLOOKUP(A4, Tasks!A$42:E$133,5, FALSE), "")</f>
        <v>EditDeck (FXML): Create deck list table</v>
      </c>
      <c r="E4" s="21">
        <v>45001</v>
      </c>
      <c r="F4" s="22" t="s">
        <v>45</v>
      </c>
      <c r="G4" s="22" t="s">
        <v>46</v>
      </c>
      <c r="H4" s="23">
        <v>1</v>
      </c>
    </row>
    <row r="5" spans="1:8" ht="26.4">
      <c r="A5" s="24" t="s">
        <v>47</v>
      </c>
      <c r="B5" s="24">
        <f>IFERROR(VLOOKUP(A5, Tasks!A$42:E$133,2, FALSE), "")</f>
        <v>2</v>
      </c>
      <c r="C5" s="24" t="str">
        <f>IFERROR(VLOOKUP(A5, Tasks!A$42:E$133,3, FALSE), "")</f>
        <v>C2</v>
      </c>
      <c r="D5" s="25" t="str">
        <f>IFERROR(VLOOKUP(A5, Tasks!A$42:E$133,5, FALSE), "")</f>
        <v>DeckList (ProfileController): Pass deck ID from profile view to deckEdit view when pushing edit btn</v>
      </c>
      <c r="E5" s="26">
        <v>45001</v>
      </c>
      <c r="F5" s="27" t="s">
        <v>46</v>
      </c>
      <c r="G5" s="27" t="s">
        <v>45</v>
      </c>
      <c r="H5" s="28">
        <v>1</v>
      </c>
    </row>
    <row r="6" spans="1:8" ht="13.2">
      <c r="A6" s="19" t="s">
        <v>48</v>
      </c>
      <c r="B6" s="19">
        <f>IFERROR(VLOOKUP(A6, Tasks!A$42:E$133,2, FALSE), "")</f>
        <v>2</v>
      </c>
      <c r="C6" s="19" t="str">
        <f>IFERROR(VLOOKUP(A6, Tasks!A$42:E$133,3, FALSE), "")</f>
        <v>D3</v>
      </c>
      <c r="D6" s="20" t="str">
        <f>IFERROR(VLOOKUP(A6, Tasks!A$42:E$133,5, FALSE), "")</f>
        <v>Tracking: task excel on google sheets</v>
      </c>
      <c r="E6" s="29">
        <v>45001</v>
      </c>
      <c r="F6" s="22" t="s">
        <v>45</v>
      </c>
      <c r="G6" s="22" t="s">
        <v>49</v>
      </c>
      <c r="H6" s="23">
        <v>1</v>
      </c>
    </row>
    <row r="7" spans="1:8" ht="13.2">
      <c r="A7" s="24" t="s">
        <v>50</v>
      </c>
      <c r="B7" s="24">
        <f>IFERROR(VLOOKUP(A7, Tasks!A$42:E$133,2, FALSE), "")</f>
        <v>2</v>
      </c>
      <c r="C7" s="24" t="str">
        <f>IFERROR(VLOOKUP(A7, Tasks!A$42:E$133,3, FALSE), "")</f>
        <v>D3</v>
      </c>
      <c r="D7" s="25" t="str">
        <f>IFERROR(VLOOKUP(A7, Tasks!A$42:E$133,5, FALSE), "")</f>
        <v>Tracking: Burndown Chart</v>
      </c>
      <c r="E7" s="30">
        <v>45001</v>
      </c>
      <c r="F7" s="27" t="s">
        <v>49</v>
      </c>
      <c r="G7" s="27" t="s">
        <v>45</v>
      </c>
      <c r="H7" s="28">
        <v>1</v>
      </c>
    </row>
    <row r="8" spans="1:8" ht="13.2">
      <c r="A8" s="19" t="s">
        <v>51</v>
      </c>
      <c r="B8" s="19">
        <v>2</v>
      </c>
      <c r="C8" s="19" t="str">
        <f>IFERROR(VLOOKUP(A8, Tasks!A$42:E$133,3, FALSE), "")</f>
        <v>D2</v>
      </c>
      <c r="D8" s="20" t="str">
        <f>IFERROR(VLOOKUP(A8, Tasks!A$42:E$133,5, FALSE), "")</f>
        <v>Refactor: Fix layout for the SignIn &amp; SignUp view</v>
      </c>
      <c r="E8" s="29">
        <v>45002</v>
      </c>
      <c r="F8" s="22" t="s">
        <v>52</v>
      </c>
      <c r="G8" s="22" t="s">
        <v>53</v>
      </c>
      <c r="H8" s="23">
        <v>1</v>
      </c>
    </row>
    <row r="9" spans="1:8" ht="13.2">
      <c r="A9" s="24" t="s">
        <v>54</v>
      </c>
      <c r="B9" s="24">
        <f>IFERROR(VLOOKUP(A9, Tasks!A$42:E$133,2, FALSE), "")</f>
        <v>2</v>
      </c>
      <c r="C9" s="24" t="str">
        <f>IFERROR(VLOOKUP(A9, Tasks!A$42:E$133,3, FALSE), "")</f>
        <v>D2</v>
      </c>
      <c r="D9" s="25" t="str">
        <f>IFERROR(VLOOKUP(A9, Tasks!A$42:E$133,5, FALSE), "")</f>
        <v>Refactor: Split the SignIn &amp; SignUp controller</v>
      </c>
      <c r="E9" s="30">
        <v>45002</v>
      </c>
      <c r="F9" s="27" t="s">
        <v>52</v>
      </c>
      <c r="G9" s="27" t="s">
        <v>53</v>
      </c>
      <c r="H9" s="28">
        <v>1</v>
      </c>
    </row>
    <row r="10" spans="1:8" ht="13.2">
      <c r="A10" s="31" t="s">
        <v>55</v>
      </c>
      <c r="B10" s="19">
        <f>IFERROR(VLOOKUP(A10, Tasks!A$42:E$133,2, FALSE), "")</f>
        <v>2</v>
      </c>
      <c r="C10" s="19" t="str">
        <f>IFERROR(VLOOKUP(A10, Tasks!A$42:E$133,3, FALSE), "")</f>
        <v>D2</v>
      </c>
      <c r="D10" s="20" t="str">
        <f>IFERROR(VLOOKUP(A10, Tasks!A$42:E$133,5, FALSE), "")</f>
        <v>Refactor: Split the Profile &amp; Settings Controller</v>
      </c>
      <c r="E10" s="32">
        <v>45002</v>
      </c>
      <c r="F10" s="22" t="s">
        <v>46</v>
      </c>
      <c r="G10" s="22" t="s">
        <v>45</v>
      </c>
      <c r="H10" s="23">
        <v>1</v>
      </c>
    </row>
    <row r="11" spans="1:8" ht="13.2">
      <c r="A11" s="24" t="s">
        <v>55</v>
      </c>
      <c r="B11" s="24">
        <v>2</v>
      </c>
      <c r="C11" s="24" t="str">
        <f>IFERROR(VLOOKUP(A11, Tasks!A$42:E$133,3, FALSE), "")</f>
        <v>D2</v>
      </c>
      <c r="D11" s="25" t="str">
        <f>IFERROR(VLOOKUP(A11, Tasks!A$42:E$133,5, FALSE), "")</f>
        <v>Refactor: Split the Profile &amp; Settings Controller</v>
      </c>
      <c r="E11" s="33">
        <v>45002</v>
      </c>
      <c r="F11" s="27" t="s">
        <v>49</v>
      </c>
      <c r="G11" s="27" t="s">
        <v>56</v>
      </c>
      <c r="H11" s="28">
        <v>1</v>
      </c>
    </row>
    <row r="12" spans="1:8" ht="13.2">
      <c r="A12" s="19" t="s">
        <v>57</v>
      </c>
      <c r="B12" s="19">
        <f>IFERROR(VLOOKUP(A12, Tasks!A$42:E$133,2, FALSE), "")</f>
        <v>2</v>
      </c>
      <c r="C12" s="19" t="str">
        <f>IFERROR(VLOOKUP(A12, Tasks!A$42:E$133,3, FALSE), "")</f>
        <v>D4</v>
      </c>
      <c r="D12" s="20" t="str">
        <f>IFERROR(VLOOKUP(A12, Tasks!A$42:E$133,5, FALSE), "")</f>
        <v>Docs: refaire le README.md</v>
      </c>
      <c r="E12" s="29">
        <v>45002</v>
      </c>
      <c r="F12" s="22" t="s">
        <v>52</v>
      </c>
      <c r="G12" s="22" t="s">
        <v>53</v>
      </c>
      <c r="H12" s="23">
        <v>0.5</v>
      </c>
    </row>
    <row r="13" spans="1:8" ht="26.4">
      <c r="A13" s="24" t="s">
        <v>58</v>
      </c>
      <c r="B13" s="24">
        <v>2</v>
      </c>
      <c r="C13" s="24" t="str">
        <f>IFERROR(VLOOKUP(A13, Tasks!A$42:E$133,3, FALSE), "")</f>
        <v>C4</v>
      </c>
      <c r="D13" s="25" t="str">
        <f>IFERROR(VLOOKUP(A13, Tasks!A$42:E$133,5, FALSE), "")</f>
        <v>Study: Refactor the editDeck view into the static Study view (FlashCard view)</v>
      </c>
      <c r="E13" s="30">
        <v>45004</v>
      </c>
      <c r="F13" s="27" t="s">
        <v>49</v>
      </c>
      <c r="G13" s="27" t="s">
        <v>59</v>
      </c>
      <c r="H13" s="28">
        <v>2</v>
      </c>
    </row>
    <row r="14" spans="1:8" ht="13.2">
      <c r="A14" s="19" t="s">
        <v>60</v>
      </c>
      <c r="B14" s="19">
        <f>IFERROR(VLOOKUP(A14, Tasks!A$42:E$133,2, FALSE), "")</f>
        <v>2</v>
      </c>
      <c r="C14" s="19" t="str">
        <f>IFERROR(VLOOKUP(A14, Tasks!A$42:E$133,3, FALSE), "")</f>
        <v>C2</v>
      </c>
      <c r="D14" s="20" t="str">
        <f>IFERROR(VLOOKUP(A14, Tasks!A$42:E$133,5, FALSE), "")</f>
        <v>EditDeck (FXML): Create global title and edit buttons</v>
      </c>
      <c r="E14" s="29">
        <v>45004</v>
      </c>
      <c r="F14" s="22" t="s">
        <v>45</v>
      </c>
      <c r="G14" s="22" t="s">
        <v>46</v>
      </c>
      <c r="H14" s="23">
        <v>1.5</v>
      </c>
    </row>
    <row r="15" spans="1:8" ht="13.2">
      <c r="A15" s="24" t="s">
        <v>44</v>
      </c>
      <c r="B15" s="24">
        <f>IFERROR(VLOOKUP(A15, Tasks!A$42:E$133,2, FALSE), "")</f>
        <v>2</v>
      </c>
      <c r="C15" s="24" t="str">
        <f>IFERROR(VLOOKUP(A15, Tasks!A$42:E$133,3, FALSE), "")</f>
        <v>C2</v>
      </c>
      <c r="D15" s="25" t="str">
        <f>IFERROR(VLOOKUP(A15, Tasks!A$42:E$133,5, FALSE), "")</f>
        <v>EditDeck (FXML): Create deck list table</v>
      </c>
      <c r="E15" s="30">
        <v>45004</v>
      </c>
      <c r="F15" s="27" t="s">
        <v>45</v>
      </c>
      <c r="G15" s="27" t="s">
        <v>46</v>
      </c>
      <c r="H15" s="28">
        <v>1.5</v>
      </c>
    </row>
    <row r="16" spans="1:8" ht="26.4">
      <c r="A16" s="19" t="s">
        <v>61</v>
      </c>
      <c r="B16" s="19">
        <f>IFERROR(VLOOKUP(A16, Tasks!A$42:E$133,2, FALSE), "")</f>
        <v>2</v>
      </c>
      <c r="C16" s="19" t="str">
        <f>IFERROR(VLOOKUP(A16, Tasks!A$42:E$133,3, FALSE), "")</f>
        <v>C2</v>
      </c>
      <c r="D16" s="20" t="str">
        <f>IFERROR(VLOOKUP(A16, Tasks!A$42:E$133,5, FALSE), "")</f>
        <v>EditDeck (DeckEditController): Load fake deck cards dynamically in list</v>
      </c>
      <c r="E16" s="29">
        <v>45004</v>
      </c>
      <c r="F16" s="22" t="s">
        <v>45</v>
      </c>
      <c r="G16" s="22" t="s">
        <v>46</v>
      </c>
      <c r="H16" s="23">
        <v>0.5</v>
      </c>
    </row>
    <row r="17" spans="1:8" ht="26.4">
      <c r="A17" s="24" t="s">
        <v>58</v>
      </c>
      <c r="B17" s="24">
        <f>IFERROR(VLOOKUP(A17, Tasks!A$42:E$133,2, FALSE), "")</f>
        <v>2</v>
      </c>
      <c r="C17" s="24" t="str">
        <f>IFERROR(VLOOKUP(A17, Tasks!A$42:E$133,3, FALSE), "")</f>
        <v>C4</v>
      </c>
      <c r="D17" s="25" t="str">
        <f>IFERROR(VLOOKUP(A17, Tasks!A$42:E$133,5, FALSE), "")</f>
        <v>Study: Refactor the editDeck view into the static Study view (FlashCard view)</v>
      </c>
      <c r="E17" s="30">
        <v>45012</v>
      </c>
      <c r="F17" s="27" t="s">
        <v>49</v>
      </c>
      <c r="G17" s="27" t="s">
        <v>59</v>
      </c>
      <c r="H17" s="28">
        <v>1</v>
      </c>
    </row>
    <row r="18" spans="1:8" ht="13.2">
      <c r="A18" s="19" t="s">
        <v>62</v>
      </c>
      <c r="B18" s="19">
        <f>IFERROR(VLOOKUP(A18, Tasks!A$42:E$133,2, FALSE), "")</f>
        <v>2</v>
      </c>
      <c r="C18" s="19" t="str">
        <f>IFERROR(VLOOKUP(A18, Tasks!A$42:E$133,3, FALSE), "")</f>
        <v>C2</v>
      </c>
      <c r="D18" s="20" t="str">
        <f>IFERROR(VLOOKUP(A18, Tasks!A$42:E$133,5, FALSE), "")</f>
        <v>Deck List: Deck creation &amp; deletion from the view</v>
      </c>
      <c r="E18" s="29">
        <v>45012</v>
      </c>
      <c r="F18" s="22" t="s">
        <v>63</v>
      </c>
      <c r="G18" s="22" t="s">
        <v>49</v>
      </c>
      <c r="H18" s="23">
        <v>2.5</v>
      </c>
    </row>
    <row r="19" spans="1:8" ht="13.2">
      <c r="A19" s="24" t="s">
        <v>64</v>
      </c>
      <c r="B19" s="24">
        <f>IFERROR(VLOOKUP(A19, Tasks!A$42:E$133,2, FALSE), "")</f>
        <v>2</v>
      </c>
      <c r="C19" s="24" t="str">
        <f>IFERROR(VLOOKUP(A19, Tasks!A$42:E$133,3, FALSE), "")</f>
        <v>C2</v>
      </c>
      <c r="D19" s="25" t="str">
        <f>IFERROR(VLOOKUP(A19, Tasks!A$42:E$133,5, FALSE), "")</f>
        <v>EditDeck(FXML): Edit button popup to edit question and answer</v>
      </c>
      <c r="E19" s="30">
        <v>45012</v>
      </c>
      <c r="F19" s="27" t="s">
        <v>45</v>
      </c>
      <c r="G19" s="27" t="s">
        <v>46</v>
      </c>
      <c r="H19" s="28">
        <v>2</v>
      </c>
    </row>
    <row r="20" spans="1:8" ht="13.2">
      <c r="A20" s="19" t="s">
        <v>65</v>
      </c>
      <c r="B20" s="19">
        <f>IFERROR(VLOOKUP(A20, Tasks!A$42:E$133,2, FALSE), "")</f>
        <v>2</v>
      </c>
      <c r="C20" s="19" t="str">
        <f>IFERROR(VLOOKUP(A20, Tasks!A$42:E$133,3, FALSE), "")</f>
        <v>C2</v>
      </c>
      <c r="D20" s="20" t="str">
        <f>IFERROR(VLOOKUP(A20, Tasks!A$42:E$133,5, FALSE), "")</f>
        <v>DB: Create Deck &amp; Card model in database (CRUD)</v>
      </c>
      <c r="E20" s="29">
        <v>45004</v>
      </c>
      <c r="F20" s="22" t="s">
        <v>53</v>
      </c>
      <c r="G20" s="22" t="s">
        <v>66</v>
      </c>
      <c r="H20" s="23">
        <v>4</v>
      </c>
    </row>
    <row r="21" spans="1:8" ht="13.2">
      <c r="A21" s="24" t="s">
        <v>67</v>
      </c>
      <c r="B21" s="24">
        <v>2</v>
      </c>
      <c r="C21" s="24" t="str">
        <f>IFERROR(VLOOKUP(A21, Tasks!A$42:E$133,3, FALSE), "")</f>
        <v>D5</v>
      </c>
      <c r="D21" s="25" t="str">
        <f>IFERROR(VLOOKUP(A21, Tasks!A$42:E$133,5, FALSE), "")</f>
        <v>Refactor: navigation manager design</v>
      </c>
      <c r="E21" s="30">
        <v>45012</v>
      </c>
      <c r="F21" s="27" t="s">
        <v>49</v>
      </c>
      <c r="G21" s="27" t="s">
        <v>45</v>
      </c>
      <c r="H21" s="28">
        <v>1</v>
      </c>
    </row>
    <row r="22" spans="1:8" ht="13.2">
      <c r="A22" s="19" t="s">
        <v>68</v>
      </c>
      <c r="B22" s="19">
        <f>IFERROR(VLOOKUP(A22, Tasks!A$42:E$133,2, FALSE), "")</f>
        <v>2</v>
      </c>
      <c r="C22" s="19" t="str">
        <f>IFERROR(VLOOKUP(A22, Tasks!A$42:E$133,3, FALSE), "")</f>
        <v>D5</v>
      </c>
      <c r="D22" s="20" t="str">
        <f>IFERROR(VLOOKUP(A22, Tasks!A$42:E$133,5, FALSE), "")</f>
        <v>Refactor: navigation manager implementation</v>
      </c>
      <c r="E22" s="29">
        <v>45012</v>
      </c>
      <c r="F22" s="22" t="s">
        <v>49</v>
      </c>
      <c r="G22" s="22" t="s">
        <v>45</v>
      </c>
      <c r="H22" s="23">
        <v>1</v>
      </c>
    </row>
    <row r="23" spans="1:8" ht="13.2">
      <c r="A23" s="24" t="s">
        <v>65</v>
      </c>
      <c r="B23" s="24">
        <f>IFERROR(VLOOKUP(A23, Tasks!A$42:E$133,2, FALSE), "")</f>
        <v>2</v>
      </c>
      <c r="C23" s="24" t="str">
        <f>IFERROR(VLOOKUP(A23, Tasks!A$42:E$133,3, FALSE), "")</f>
        <v>C2</v>
      </c>
      <c r="D23" s="25" t="str">
        <f>IFERROR(VLOOKUP(A23, Tasks!A$42:E$133,5, FALSE), "")</f>
        <v>DB: Create Deck &amp; Card model in database (CRUD)</v>
      </c>
      <c r="E23" s="30">
        <v>45012</v>
      </c>
      <c r="F23" s="27" t="s">
        <v>53</v>
      </c>
      <c r="G23" s="27" t="s">
        <v>66</v>
      </c>
      <c r="H23" s="28">
        <v>3</v>
      </c>
    </row>
    <row r="24" spans="1:8" ht="13.2">
      <c r="A24" s="19" t="s">
        <v>69</v>
      </c>
      <c r="B24" s="19">
        <f>IFERROR(VLOOKUP(A24, Tasks!A$42:E$133,2, FALSE), "")</f>
        <v>2</v>
      </c>
      <c r="C24" s="19" t="str">
        <f>IFERROR(VLOOKUP(A24, Tasks!A$42:E$133,3, FALSE), "")</f>
        <v>C6</v>
      </c>
      <c r="D24" s="20" t="str">
        <f>IFERROR(VLOOKUP(A24, Tasks!A$42:E$133,5, FALSE), "")</f>
        <v>Study Mode: Implement the "Review" study mode</v>
      </c>
      <c r="E24" s="29">
        <v>45004</v>
      </c>
      <c r="F24" s="22" t="s">
        <v>70</v>
      </c>
      <c r="G24" s="22" t="s">
        <v>52</v>
      </c>
      <c r="H24" s="23">
        <v>6</v>
      </c>
    </row>
    <row r="25" spans="1:8" ht="13.2">
      <c r="A25" s="24" t="s">
        <v>71</v>
      </c>
      <c r="B25" s="24">
        <f>IFERROR(VLOOKUP(A25, Tasks!A$42:E$133,2, FALSE), "")</f>
        <v>2</v>
      </c>
      <c r="C25" s="24" t="str">
        <f>IFERROR(VLOOKUP(A25, Tasks!A$42:E$133,3, FALSE), "")</f>
        <v>C6</v>
      </c>
      <c r="D25" s="25" t="str">
        <f>IFERROR(VLOOKUP(A25, Tasks!A$42:E$133,5, FALSE), "")</f>
        <v>Study Mode: Implement the "Free" study mode</v>
      </c>
      <c r="E25" s="30">
        <v>45012</v>
      </c>
      <c r="F25" s="27" t="s">
        <v>70</v>
      </c>
      <c r="G25" s="27" t="s">
        <v>52</v>
      </c>
      <c r="H25" s="28">
        <v>4</v>
      </c>
    </row>
    <row r="26" spans="1:8" ht="13.2">
      <c r="A26" s="19" t="s">
        <v>72</v>
      </c>
      <c r="B26" s="19">
        <f>IFERROR(VLOOKUP(A26, Tasks!A$42:E$133,2, FALSE), "")</f>
        <v>2</v>
      </c>
      <c r="C26" s="19" t="str">
        <f>IFERROR(VLOOKUP(A26, Tasks!A$42:E$133,3, FALSE), "")</f>
        <v>C2</v>
      </c>
      <c r="D26" s="20" t="str">
        <f>IFERROR(VLOOKUP(A26, Tasks!A$42:E$133,5, FALSE), "")</f>
        <v>EditDeck(FXML): Add card popup</v>
      </c>
      <c r="E26" s="29">
        <v>45015</v>
      </c>
      <c r="F26" s="22" t="s">
        <v>46</v>
      </c>
      <c r="G26" s="22" t="s">
        <v>45</v>
      </c>
      <c r="H26" s="23">
        <v>0.5</v>
      </c>
    </row>
    <row r="27" spans="1:8" ht="13.2">
      <c r="A27" s="24" t="s">
        <v>73</v>
      </c>
      <c r="B27" s="24">
        <f>IFERROR(VLOOKUP(A27, Tasks!A$42:E$133,2, FALSE), "")</f>
        <v>2</v>
      </c>
      <c r="C27" s="24" t="str">
        <f>IFERROR(VLOOKUP(A27, Tasks!A$42:E$133,3, FALSE), "")</f>
        <v>C2</v>
      </c>
      <c r="D27" s="25" t="str">
        <f>IFERROR(VLOOKUP(A27, Tasks!A$42:E$133,5, FALSE), "")</f>
        <v>EditDeck(FXML): edit title and category popups</v>
      </c>
      <c r="E27" s="30">
        <v>45015</v>
      </c>
      <c r="F27" s="27" t="s">
        <v>46</v>
      </c>
      <c r="G27" s="27" t="s">
        <v>45</v>
      </c>
      <c r="H27" s="28">
        <v>0.5</v>
      </c>
    </row>
    <row r="28" spans="1:8" ht="26.4">
      <c r="A28" s="19" t="s">
        <v>74</v>
      </c>
      <c r="B28" s="19">
        <f>IFERROR(VLOOKUP(A28, Tasks!A$42:E$133,2, FALSE), "")</f>
        <v>2</v>
      </c>
      <c r="C28" s="19" t="str">
        <f>IFERROR(VLOOKUP(A28, Tasks!A$42:E$133,3, FALSE), "")</f>
        <v>C2</v>
      </c>
      <c r="D28" s="20" t="str">
        <f>IFERROR(VLOOKUP(A28, Tasks!A$42:E$133,5, FALSE), "")</f>
        <v>EditDeck(DeckEditController): Edit button logic to edit question and answer in popup</v>
      </c>
      <c r="E28" s="29">
        <v>45015</v>
      </c>
      <c r="F28" s="22" t="s">
        <v>46</v>
      </c>
      <c r="G28" s="22" t="s">
        <v>45</v>
      </c>
      <c r="H28" s="23">
        <v>1</v>
      </c>
    </row>
    <row r="29" spans="1:8" ht="13.2">
      <c r="A29" s="24" t="s">
        <v>75</v>
      </c>
      <c r="B29" s="24">
        <f>IFERROR(VLOOKUP(A29, Tasks!A$42:E$133,2, FALSE), "")</f>
        <v>2</v>
      </c>
      <c r="C29" s="24" t="str">
        <f>IFERROR(VLOOKUP(A29, Tasks!A$42:E$133,3, FALSE), "")</f>
        <v>C2</v>
      </c>
      <c r="D29" s="25" t="str">
        <f>IFERROR(VLOOKUP(A29, Tasks!A$42:E$133,5, FALSE), "")</f>
        <v>EditDeck(FXML): Delete button to delete question</v>
      </c>
      <c r="E29" s="30">
        <v>45015</v>
      </c>
      <c r="F29" s="27" t="s">
        <v>46</v>
      </c>
      <c r="G29" s="27" t="s">
        <v>45</v>
      </c>
      <c r="H29" s="28">
        <v>0.5</v>
      </c>
    </row>
    <row r="30" spans="1:8" ht="13.2">
      <c r="A30" s="19" t="s">
        <v>76</v>
      </c>
      <c r="B30" s="19">
        <f>IFERROR(VLOOKUP(A30, Tasks!A$42:E$133,2, FALSE), "")</f>
        <v>2</v>
      </c>
      <c r="C30" s="19" t="str">
        <f>IFERROR(VLOOKUP(A30, Tasks!A$42:E$133,3, FALSE), "")</f>
        <v>C2</v>
      </c>
      <c r="D30" s="20" t="str">
        <f>IFERROR(VLOOKUP(A30, Tasks!A$42:E$133,5, FALSE), "")</f>
        <v>EditDeck(DeckEditController): Delete button logic to delete question</v>
      </c>
      <c r="E30" s="29">
        <v>45015</v>
      </c>
      <c r="F30" s="22" t="s">
        <v>46</v>
      </c>
      <c r="G30" s="22" t="s">
        <v>45</v>
      </c>
      <c r="H30" s="23">
        <v>0.5</v>
      </c>
    </row>
    <row r="31" spans="1:8" ht="26.4">
      <c r="A31" s="24" t="s">
        <v>77</v>
      </c>
      <c r="B31" s="24">
        <f>IFERROR(VLOOKUP(A31, Tasks!A$42:E$133,2, FALSE), "")</f>
        <v>2</v>
      </c>
      <c r="C31" s="24" t="str">
        <f>IFERROR(VLOOKUP(A31, Tasks!A$42:E$133,3, FALSE), "")</f>
        <v>C2</v>
      </c>
      <c r="D31" s="25" t="str">
        <f>IFERROR(VLOOKUP(A31, Tasks!A$42:E$133,5, FALSE), "")</f>
        <v>EditDeck(DeckEditController) : Edit deck properties logic (title, category)</v>
      </c>
      <c r="E31" s="30">
        <v>45015</v>
      </c>
      <c r="F31" s="27" t="s">
        <v>46</v>
      </c>
      <c r="G31" s="27" t="s">
        <v>45</v>
      </c>
      <c r="H31" s="28">
        <v>0.5</v>
      </c>
    </row>
    <row r="32" spans="1:8" ht="13.2">
      <c r="A32" s="19" t="s">
        <v>78</v>
      </c>
      <c r="B32" s="19">
        <f>IFERROR(VLOOKUP(A32, Tasks!A$42:E$133,2, FALSE), "")</f>
        <v>2</v>
      </c>
      <c r="C32" s="19" t="str">
        <f>IFERROR(VLOOKUP(A32, Tasks!A$42:E$133,3, FALSE), "")</f>
        <v>C2</v>
      </c>
      <c r="D32" s="20" t="str">
        <f>IFERROR(VLOOKUP(A32, Tasks!A$42:E$133,5, FALSE), "")</f>
        <v>EditDeck(FXML): make vboxes question/answer for cards</v>
      </c>
      <c r="E32" s="29">
        <v>45016</v>
      </c>
      <c r="F32" s="22" t="s">
        <v>49</v>
      </c>
      <c r="G32" s="22" t="s">
        <v>45</v>
      </c>
      <c r="H32" s="23">
        <v>1</v>
      </c>
    </row>
    <row r="33" spans="1:8" ht="13.2">
      <c r="A33" s="24" t="s">
        <v>79</v>
      </c>
      <c r="B33" s="24">
        <f>IFERROR(VLOOKUP(A33, Tasks!A$42:E$133,2, FALSE), "")</f>
        <v>2</v>
      </c>
      <c r="C33" s="24" t="str">
        <f>IFERROR(VLOOKUP(A33, Tasks!A$42:E$133,3, FALSE), "")</f>
        <v>C2</v>
      </c>
      <c r="D33" s="25" t="str">
        <f>IFERROR(VLOOKUP(A33, Tasks!A$42:E$133,5, FALSE), "")</f>
        <v>EditDeck(FXML): Add scrolling in edit deck view</v>
      </c>
      <c r="E33" s="30">
        <v>45016</v>
      </c>
      <c r="F33" s="27" t="s">
        <v>45</v>
      </c>
      <c r="G33" s="27" t="s">
        <v>49</v>
      </c>
      <c r="H33" s="28">
        <v>0.5</v>
      </c>
    </row>
    <row r="34" spans="1:8" ht="13.2">
      <c r="A34" s="19" t="s">
        <v>80</v>
      </c>
      <c r="B34" s="19">
        <f>IFERROR(VLOOKUP(A34, Tasks!A$42:E$133,2, FALSE), "")</f>
        <v>2</v>
      </c>
      <c r="C34" s="19" t="str">
        <f>IFERROR(VLOOKUP(A34, Tasks!A$42:E$133,3, FALSE), "")</f>
        <v>C6</v>
      </c>
      <c r="D34" s="20" t="str">
        <f>IFERROR(VLOOKUP(A34, Tasks!A$42:E$133,5, FALSE), "")</f>
        <v>Study Mode: Implements the tests</v>
      </c>
      <c r="E34" s="29">
        <v>45014</v>
      </c>
      <c r="F34" s="22" t="s">
        <v>52</v>
      </c>
      <c r="G34" s="22" t="s">
        <v>70</v>
      </c>
      <c r="H34" s="23">
        <v>1.5</v>
      </c>
    </row>
    <row r="35" spans="1:8" ht="13.2">
      <c r="A35" s="24" t="s">
        <v>81</v>
      </c>
      <c r="B35" s="24">
        <f>IFERROR(VLOOKUP(A35, Tasks!A$42:E$133,2, FALSE), "")</f>
        <v>2</v>
      </c>
      <c r="C35" s="24" t="str">
        <f>IFERROR(VLOOKUP(A35, Tasks!A$42:E$133,3, FALSE), "")</f>
        <v>C2</v>
      </c>
      <c r="D35" s="25" t="str">
        <f>IFERROR(VLOOKUP(A35, Tasks!A$42:E$133,5, FALSE), "")</f>
        <v>DeckList(FXML): Add scrolling in DeckList/Profile/settings view</v>
      </c>
      <c r="E35" s="30">
        <v>45018</v>
      </c>
      <c r="F35" s="27" t="s">
        <v>56</v>
      </c>
      <c r="G35" s="27" t="s">
        <v>53</v>
      </c>
      <c r="H35" s="28">
        <v>1</v>
      </c>
    </row>
    <row r="36" spans="1:8" ht="13.2">
      <c r="A36" s="19" t="s">
        <v>82</v>
      </c>
      <c r="B36" s="19">
        <v>2</v>
      </c>
      <c r="C36" s="19" t="s">
        <v>83</v>
      </c>
      <c r="D36" s="20" t="s">
        <v>84</v>
      </c>
      <c r="E36" s="29">
        <v>45018</v>
      </c>
      <c r="F36" s="22" t="s">
        <v>53</v>
      </c>
      <c r="G36" s="22" t="s">
        <v>56</v>
      </c>
      <c r="H36" s="23">
        <v>1</v>
      </c>
    </row>
    <row r="37" spans="1:8" ht="13.2">
      <c r="A37" s="24" t="s">
        <v>85</v>
      </c>
      <c r="B37" s="24">
        <f>IFERROR(VLOOKUP(A37, Tasks!A$42:E$133,2, FALSE), "")</f>
        <v>2</v>
      </c>
      <c r="C37" s="24" t="str">
        <f>IFERROR(VLOOKUP(A37, Tasks!A$42:E$133,3, FALSE), "")</f>
        <v>C2</v>
      </c>
      <c r="D37" s="25" t="str">
        <f>IFERROR(VLOOKUP(A37, Tasks!A$42:E$133,5, FALSE), "")</f>
        <v>EditDeck(FXML): add category in view</v>
      </c>
      <c r="E37" s="30">
        <v>45018</v>
      </c>
      <c r="F37" s="27" t="s">
        <v>53</v>
      </c>
      <c r="G37" s="27" t="s">
        <v>56</v>
      </c>
      <c r="H37" s="28">
        <v>2</v>
      </c>
    </row>
    <row r="38" spans="1:8" ht="13.2">
      <c r="A38" s="19" t="s">
        <v>65</v>
      </c>
      <c r="B38" s="19">
        <f>IFERROR(VLOOKUP(A38, Tasks!A$42:E$133,2, FALSE), "")</f>
        <v>2</v>
      </c>
      <c r="C38" s="19" t="str">
        <f>IFERROR(VLOOKUP(A38, Tasks!A$42:E$133,3, FALSE), "")</f>
        <v>C2</v>
      </c>
      <c r="D38" s="20" t="str">
        <f>IFERROR(VLOOKUP(A38, Tasks!A$42:E$133,5, FALSE), "")</f>
        <v>DB: Create Deck &amp; Card model in database (CRUD)</v>
      </c>
      <c r="E38" s="29">
        <v>45018</v>
      </c>
      <c r="F38" s="22" t="s">
        <v>66</v>
      </c>
      <c r="G38" s="22" t="s">
        <v>53</v>
      </c>
      <c r="H38" s="23">
        <v>3</v>
      </c>
    </row>
    <row r="39" spans="1:8" ht="13.2">
      <c r="A39" s="24" t="s">
        <v>86</v>
      </c>
      <c r="B39" s="24">
        <f>IFERROR(VLOOKUP(A39, Tasks!A$42:E$133,2, FALSE), "")</f>
        <v>2</v>
      </c>
      <c r="C39" s="24" t="str">
        <f>IFERROR(VLOOKUP(A39, Tasks!A$42:E$133,3, FALSE), "")</f>
        <v>C2</v>
      </c>
      <c r="D39" s="25" t="str">
        <f>IFERROR(VLOOKUP(A39, Tasks!A$42:E$133,5, FALSE), "")</f>
        <v>Fix(Database): Tables are created only when calling getInstance()</v>
      </c>
      <c r="E39" s="30">
        <v>45018</v>
      </c>
      <c r="F39" s="27" t="s">
        <v>49</v>
      </c>
      <c r="G39" s="27" t="s">
        <v>56</v>
      </c>
      <c r="H39" s="28">
        <v>0.5</v>
      </c>
    </row>
    <row r="40" spans="1:8" ht="13.2">
      <c r="A40" s="19" t="s">
        <v>87</v>
      </c>
      <c r="B40" s="19">
        <f>IFERROR(VLOOKUP(A40, Tasks!A$42:E$133,2, FALSE), "")</f>
        <v>2</v>
      </c>
      <c r="C40" s="19" t="str">
        <f>IFERROR(VLOOKUP(A40, Tasks!A$42:E$133,3, FALSE), "")</f>
        <v>C2</v>
      </c>
      <c r="D40" s="20" t="str">
        <f>IFERROR(VLOOKUP(A40, Tasks!A$42:E$133,5, FALSE), "")</f>
        <v>Deck List: Load decks from the database in the view</v>
      </c>
      <c r="E40" s="29">
        <v>45018</v>
      </c>
      <c r="F40" s="22" t="s">
        <v>56</v>
      </c>
      <c r="G40" s="22" t="s">
        <v>53</v>
      </c>
      <c r="H40" s="23">
        <v>1</v>
      </c>
    </row>
    <row r="41" spans="1:8" ht="13.2">
      <c r="A41" s="24" t="s">
        <v>88</v>
      </c>
      <c r="B41" s="24">
        <f>IFERROR(VLOOKUP(A41, Tasks!A$42:E$133,2, FALSE), "")</f>
        <v>2</v>
      </c>
      <c r="C41" s="24" t="str">
        <f>IFERROR(VLOOKUP(A41, Tasks!A$42:E$133,3, FALSE), "")</f>
        <v>C6</v>
      </c>
      <c r="D41" s="25" t="str">
        <f>IFERROR(VLOOKUP(A41, Tasks!A$42:E$133,5, FALSE), "")</f>
        <v>Study Mode: create a view for "Free" study mode</v>
      </c>
      <c r="E41" s="30">
        <v>45033</v>
      </c>
      <c r="F41" s="27" t="s">
        <v>63</v>
      </c>
      <c r="G41" s="27" t="s">
        <v>53</v>
      </c>
      <c r="H41" s="28">
        <v>1.5</v>
      </c>
    </row>
    <row r="42" spans="1:8" ht="26.4">
      <c r="A42" s="19" t="s">
        <v>89</v>
      </c>
      <c r="B42" s="19">
        <f>IFERROR(VLOOKUP(A42, Tasks!A$42:E$133,2, FALSE), "")</f>
        <v>2</v>
      </c>
      <c r="C42" s="19" t="str">
        <f>IFERROR(VLOOKUP(A42, Tasks!A$42:E$133,3, FALSE), "")</f>
        <v>D6</v>
      </c>
      <c r="D42" s="20" t="str">
        <f>IFERROR(VLOOKUP(A42, Tasks!A$42:E$133,5, FALSE), "")</f>
        <v>Refactor: handling all runtime errors in code; replace signature errors in try/catch blocks</v>
      </c>
      <c r="E42" s="29">
        <v>45033</v>
      </c>
      <c r="F42" s="22" t="s">
        <v>52</v>
      </c>
      <c r="G42" s="22" t="s">
        <v>56</v>
      </c>
      <c r="H42" s="23">
        <v>3</v>
      </c>
    </row>
    <row r="43" spans="1:8" ht="13.2">
      <c r="A43" s="24" t="s">
        <v>90</v>
      </c>
      <c r="B43" s="24">
        <f>IFERROR(VLOOKUP(A43, Tasks!A$42:E$133,2, FALSE), "")</f>
        <v>2</v>
      </c>
      <c r="C43" s="24" t="str">
        <f>IFERROR(VLOOKUP(A43, Tasks!A$42:E$133,3, FALSE), "")</f>
        <v>D5</v>
      </c>
      <c r="D43" s="25" t="str">
        <f>IFERROR(VLOOKUP(A43, Tasks!A$42:E$133,5, FALSE), "")</f>
        <v>Feat: Add params in navigation</v>
      </c>
      <c r="E43" s="30">
        <v>45033</v>
      </c>
      <c r="F43" s="27" t="s">
        <v>49</v>
      </c>
      <c r="G43" s="27" t="s">
        <v>45</v>
      </c>
      <c r="H43" s="28">
        <v>1.5</v>
      </c>
    </row>
    <row r="44" spans="1:8" ht="13.2">
      <c r="A44" s="19" t="s">
        <v>91</v>
      </c>
      <c r="B44" s="19">
        <f>IFERROR(VLOOKUP(A44, Tasks!A$42:E$133,2, FALSE), "")</f>
        <v>2</v>
      </c>
      <c r="C44" s="19" t="str">
        <f>IFERROR(VLOOKUP(A44, Tasks!A$42:E$133,3, FALSE), "")</f>
        <v>C4</v>
      </c>
      <c r="D44" s="20" t="str">
        <f>IFERROR(VLOOKUP(A44, Tasks!A$42:E$133,5, FALSE), "")</f>
        <v>Study: Load cards from database into Study view</v>
      </c>
      <c r="E44" s="29">
        <v>45033</v>
      </c>
      <c r="F44" s="22" t="s">
        <v>59</v>
      </c>
      <c r="G44" s="22" t="s">
        <v>63</v>
      </c>
      <c r="H44" s="23">
        <v>1.5</v>
      </c>
    </row>
    <row r="45" spans="1:8" ht="26.4">
      <c r="A45" s="24" t="s">
        <v>92</v>
      </c>
      <c r="B45" s="24">
        <f>IFERROR(VLOOKUP(A45, Tasks!A$42:E$133,2, FALSE), "")</f>
        <v>2</v>
      </c>
      <c r="C45" s="24" t="str">
        <f>IFERROR(VLOOKUP(A45, Tasks!A$42:E$133,3, FALSE), "")</f>
        <v>C2</v>
      </c>
      <c r="D45" s="25" t="str">
        <f>IFERROR(VLOOKUP(A45, Tasks!A$42:E$133,5, FALSE), "")</f>
        <v>DB: Create interface between controller &amp; database for managing decks &amp; cards</v>
      </c>
      <c r="E45" s="30">
        <v>45033</v>
      </c>
      <c r="F45" s="27" t="s">
        <v>49</v>
      </c>
      <c r="G45" s="27" t="s">
        <v>52</v>
      </c>
      <c r="H45" s="28">
        <v>3</v>
      </c>
    </row>
    <row r="46" spans="1:8" ht="13.2">
      <c r="A46" s="19" t="s">
        <v>93</v>
      </c>
      <c r="B46" s="19">
        <f>IFERROR(VLOOKUP(A46, Tasks!A$42:E$133,2, FALSE), "")</f>
        <v>2</v>
      </c>
      <c r="C46" s="19" t="str">
        <f>IFERROR(VLOOKUP(A46, Tasks!A$42:E$133,3, FALSE), "")</f>
        <v>C6</v>
      </c>
      <c r="D46" s="20" t="str">
        <f>IFERROR(VLOOKUP(A46, Tasks!A$42:E$133,5, FALSE), "")</f>
        <v>Study Mode: Create a controller for "Review" Mode</v>
      </c>
      <c r="E46" s="29">
        <v>45033</v>
      </c>
      <c r="F46" s="22" t="s">
        <v>52</v>
      </c>
      <c r="G46" s="22" t="s">
        <v>49</v>
      </c>
      <c r="H46" s="23">
        <v>4</v>
      </c>
    </row>
    <row r="47" spans="1:8" ht="13.2">
      <c r="A47" s="24" t="s">
        <v>91</v>
      </c>
      <c r="B47" s="24">
        <f>IFERROR(VLOOKUP(A47, Tasks!A$42:E$133,2, FALSE), "")</f>
        <v>2</v>
      </c>
      <c r="C47" s="24" t="str">
        <f>IFERROR(VLOOKUP(A47, Tasks!A$42:E$133,3, FALSE), "")</f>
        <v>C4</v>
      </c>
      <c r="D47" s="25" t="str">
        <f>IFERROR(VLOOKUP(A47, Tasks!A$42:E$133,5, FALSE), "")</f>
        <v>Study: Load cards from database into Study view</v>
      </c>
      <c r="E47" s="30">
        <v>45033</v>
      </c>
      <c r="F47" s="27" t="s">
        <v>59</v>
      </c>
      <c r="G47" s="27" t="s">
        <v>63</v>
      </c>
      <c r="H47" s="28">
        <v>2.5</v>
      </c>
    </row>
    <row r="48" spans="1:8" ht="13.2">
      <c r="A48" s="19" t="s">
        <v>94</v>
      </c>
      <c r="B48" s="19">
        <f>IFERROR(VLOOKUP(A48, Tasks!A$42:E$133,2, FALSE), "")</f>
        <v>2</v>
      </c>
      <c r="C48" s="19" t="str">
        <f>IFERROR(VLOOKUP(A48, Tasks!A$42:E$133,3, FALSE), "")</f>
        <v>C4</v>
      </c>
      <c r="D48" s="20" t="str">
        <f>IFERROR(VLOOKUP(A48, Tasks!A$42:E$133,5, FALSE), "")</f>
        <v>Study: Add text wrapping in Study view for answer &amp; question</v>
      </c>
      <c r="E48" s="29">
        <v>45033</v>
      </c>
      <c r="F48" s="22" t="s">
        <v>52</v>
      </c>
      <c r="G48" s="22" t="s">
        <v>56</v>
      </c>
      <c r="H48" s="23">
        <v>0.5</v>
      </c>
    </row>
    <row r="49" spans="1:8" ht="13.2">
      <c r="A49" s="24" t="s">
        <v>91</v>
      </c>
      <c r="B49" s="24">
        <f>IFERROR(VLOOKUP(A49, Tasks!A$42:E$133,2, FALSE), "")</f>
        <v>2</v>
      </c>
      <c r="C49" s="24" t="str">
        <f>IFERROR(VLOOKUP(A49, Tasks!A$42:E$133,3, FALSE), "")</f>
        <v>C4</v>
      </c>
      <c r="D49" s="25" t="str">
        <f>IFERROR(VLOOKUP(A49, Tasks!A$42:E$133,5, FALSE), "")</f>
        <v>Study: Load cards from database into Study view</v>
      </c>
      <c r="E49" s="30">
        <v>45033</v>
      </c>
      <c r="F49" s="27" t="s">
        <v>59</v>
      </c>
      <c r="G49" s="27" t="s">
        <v>63</v>
      </c>
      <c r="H49" s="28">
        <v>0.5</v>
      </c>
    </row>
    <row r="50" spans="1:8" ht="13.2">
      <c r="A50" s="19" t="s">
        <v>95</v>
      </c>
      <c r="B50" s="19">
        <f>IFERROR(VLOOKUP(A50, Tasks!A$42:E$133,2, FALSE), "")</f>
        <v>2</v>
      </c>
      <c r="C50" s="19" t="str">
        <f>IFERROR(VLOOKUP(A50, Tasks!A$42:E$133,3, FALSE), "")</f>
        <v>C2</v>
      </c>
      <c r="D50" s="20" t="str">
        <f>IFERROR(VLOOKUP(A50, Tasks!A$42:E$133,5, FALSE), "")</f>
        <v>DeckList (FXML): Delete button warning popup to delete deck &amp; card</v>
      </c>
      <c r="E50" s="29">
        <v>45002</v>
      </c>
      <c r="F50" s="22" t="s">
        <v>63</v>
      </c>
      <c r="G50" s="22" t="s">
        <v>53</v>
      </c>
      <c r="H50" s="23">
        <v>0.5</v>
      </c>
    </row>
    <row r="51" spans="1:8" ht="13.2">
      <c r="A51" s="24" t="s">
        <v>96</v>
      </c>
      <c r="B51" s="24">
        <f>IFERROR(VLOOKUP(A51, Tasks!A$42:E$133,2, FALSE), "")</f>
        <v>2</v>
      </c>
      <c r="C51" s="24" t="str">
        <f>IFERROR(VLOOKUP(A51, Tasks!A$42:E$133,3, FALSE), "")</f>
        <v>D1</v>
      </c>
      <c r="D51" s="25" t="str">
        <f>IFERROR(VLOOKUP(A51, Tasks!A$42:E$133,5, FALSE), "")</f>
        <v>CI/CD: Create a CI/CD action to test, check format &amp; build</v>
      </c>
      <c r="E51" s="30">
        <v>45033</v>
      </c>
      <c r="F51" s="27" t="s">
        <v>66</v>
      </c>
      <c r="G51" s="27" t="s">
        <v>70</v>
      </c>
      <c r="H51" s="28">
        <v>3.5</v>
      </c>
    </row>
    <row r="52" spans="1:8" ht="13.2">
      <c r="A52" s="19" t="s">
        <v>97</v>
      </c>
      <c r="B52" s="19">
        <f>IFERROR(VLOOKUP(A52, Tasks!A$42:E$133,2, FALSE), "")</f>
        <v>2</v>
      </c>
      <c r="C52" s="19" t="str">
        <f>IFERROR(VLOOKUP(A52, Tasks!A$42:E$133,3, FALSE), "")</f>
        <v>C2</v>
      </c>
      <c r="D52" s="20" t="str">
        <f>IFERROR(VLOOKUP(A52, Tasks!A$42:E$133,5, FALSE), "")</f>
        <v>EditDeck(docs): make docstrings and comments for all classes</v>
      </c>
      <c r="E52" s="29">
        <v>45033</v>
      </c>
      <c r="F52" s="22" t="s">
        <v>52</v>
      </c>
      <c r="G52" s="22"/>
      <c r="H52" s="23">
        <v>2.5</v>
      </c>
    </row>
    <row r="53" spans="1:8" ht="13.2">
      <c r="A53" s="24" t="s">
        <v>98</v>
      </c>
      <c r="B53" s="24">
        <f>IFERROR(VLOOKUP(A53, Tasks!A$42:E$133,2, FALSE), "")</f>
        <v>2</v>
      </c>
      <c r="C53" s="24" t="str">
        <f>IFERROR(VLOOKUP(A53, Tasks!A$42:E$133,3, FALSE), "")</f>
        <v>C6</v>
      </c>
      <c r="D53" s="25" t="str">
        <f>IFERROR(VLOOKUP(A53, Tasks!A$42:E$133,5, FALSE), "")</f>
        <v>Study Mode: Refactor Sutdy views and handle exceptions</v>
      </c>
      <c r="E53" s="30">
        <v>45033</v>
      </c>
      <c r="F53" s="27" t="s">
        <v>53</v>
      </c>
      <c r="G53" s="27" t="s">
        <v>63</v>
      </c>
      <c r="H53" s="28">
        <v>4</v>
      </c>
    </row>
    <row r="54" spans="1:8" ht="13.2">
      <c r="A54" s="19" t="s">
        <v>99</v>
      </c>
      <c r="B54" s="19">
        <f>IFERROR(VLOOKUP(A54, Tasks!A$42:E$133,2, FALSE), "")</f>
        <v>2</v>
      </c>
      <c r="C54" s="19" t="str">
        <f>IFERROR(VLOOKUP(A54, Tasks!A$42:E$133,3, FALSE), "")</f>
        <v>C2</v>
      </c>
      <c r="D54" s="20" t="str">
        <f>IFERROR(VLOOKUP(A54, Tasks!A$42:E$133,5, FALSE), "")</f>
        <v>Deck List: Filter deck by category/theme</v>
      </c>
      <c r="E54" s="29">
        <v>45033</v>
      </c>
      <c r="F54" s="22" t="s">
        <v>45</v>
      </c>
      <c r="G54" s="22" t="s">
        <v>56</v>
      </c>
      <c r="H54" s="23">
        <v>3.5</v>
      </c>
    </row>
    <row r="55" spans="1:8" ht="26.4">
      <c r="A55" s="24" t="s">
        <v>100</v>
      </c>
      <c r="B55" s="24">
        <f>IFERROR(VLOOKUP(A55, Tasks!A$42:E$133,2, FALSE), "")</f>
        <v>2</v>
      </c>
      <c r="C55" s="24" t="str">
        <f>IFERROR(VLOOKUP(A55, Tasks!A$42:E$133,3, FALSE), "")</f>
        <v>C2</v>
      </c>
      <c r="D55" s="25" t="str">
        <f>IFERROR(VLOOKUP(A55, Tasks!A$42:E$133,5, FALSE), "")</f>
        <v>Refactor(Database): Remove the perfomanceType entity (replace with simple integer)</v>
      </c>
      <c r="E55" s="30">
        <v>45033</v>
      </c>
      <c r="F55" s="27" t="s">
        <v>63</v>
      </c>
      <c r="G55" s="27" t="s">
        <v>53</v>
      </c>
      <c r="H55" s="28">
        <v>0.5</v>
      </c>
    </row>
    <row r="56" spans="1:8" ht="26.4">
      <c r="A56" s="19" t="s">
        <v>101</v>
      </c>
      <c r="B56" s="19">
        <f>IFERROR(VLOOKUP(A56, Tasks!A$42:E$133,2, FALSE), "")</f>
        <v>2</v>
      </c>
      <c r="C56" s="19" t="str">
        <f>IFERROR(VLOOKUP(A56, Tasks!A$42:E$133,3, FALSE), "")</f>
        <v>C2</v>
      </c>
      <c r="D56" s="20" t="str">
        <f>IFERROR(VLOOKUP(A56, Tasks!A$42:E$133,5, FALSE), "")</f>
        <v>Fix(Database): Fixed issue in test caused by database, refactor database</v>
      </c>
      <c r="E56" s="29">
        <v>45033</v>
      </c>
      <c r="F56" s="22" t="s">
        <v>49</v>
      </c>
      <c r="G56" s="22"/>
      <c r="H56" s="23">
        <v>2.5</v>
      </c>
    </row>
    <row r="57" spans="1:8" ht="13.2">
      <c r="A57" s="24" t="s">
        <v>102</v>
      </c>
      <c r="B57" s="24">
        <f>IFERROR(VLOOKUP(A57, Tasks!A$89:E$133,2, FALSE), "")</f>
        <v>3</v>
      </c>
      <c r="C57" s="24" t="str">
        <f>IFERROR(VLOOKUP(A57, Tasks!A$89:E$133,3, FALSE), "")</f>
        <v>D7</v>
      </c>
      <c r="D57" s="25" t="str">
        <f>IFERROR(VLOOKUP(A57, Tasks!A$89:E$133,5, FALSE), "")</f>
        <v>Refactor: fix refresh list when adding new decks with unknown tag</v>
      </c>
      <c r="E57" s="30">
        <v>45034</v>
      </c>
      <c r="F57" s="27" t="s">
        <v>45</v>
      </c>
      <c r="G57" s="27"/>
      <c r="H57" s="28">
        <v>1.5</v>
      </c>
    </row>
    <row r="58" spans="1:8" ht="26.4">
      <c r="A58" s="19" t="s">
        <v>103</v>
      </c>
      <c r="B58" s="19">
        <f>IFERROR(VLOOKUP(A58, Tasks!A$89:E$133,2, FALSE), "")</f>
        <v>3</v>
      </c>
      <c r="C58" s="19" t="str">
        <f>IFERROR(VLOOKUP(A58, Tasks!A$89:E$133,3, FALSE), "")</f>
        <v>D7</v>
      </c>
      <c r="D58" s="20" t="str">
        <f>IFERROR(VLOOKUP(A58, Tasks!A$89:E$133,5, FALSE), "")</f>
        <v>MVC: Refactor the view controllers and controllers to respect the MVC patterns</v>
      </c>
      <c r="E58" s="29">
        <v>45034</v>
      </c>
      <c r="F58" s="22" t="s">
        <v>49</v>
      </c>
      <c r="G58" s="22"/>
      <c r="H58" s="23">
        <v>3</v>
      </c>
    </row>
    <row r="59" spans="1:8" ht="26.4">
      <c r="A59" s="24" t="s">
        <v>104</v>
      </c>
      <c r="B59" s="24">
        <f>IFERROR(VLOOKUP(A59, Tasks!A$89:E$133,2, FALSE), "")</f>
        <v>3</v>
      </c>
      <c r="C59" s="24" t="str">
        <f>IFERROR(VLOOKUP(A59, Tasks!A$89:E$133,3, FALSE), "")</f>
        <v>C10</v>
      </c>
      <c r="D59" s="25" t="str">
        <f>IFERROR(VLOOKUP(A59, Tasks!A$89:E$133,5, FALSE), "")</f>
        <v>Server: Setup Django App with Docker Compose (Initial Setup) + Architecture</v>
      </c>
      <c r="E59" s="30">
        <v>45035</v>
      </c>
      <c r="F59" s="27" t="s">
        <v>46</v>
      </c>
      <c r="G59" s="27" t="s">
        <v>66</v>
      </c>
      <c r="H59" s="28">
        <v>3</v>
      </c>
    </row>
    <row r="60" spans="1:8" ht="26.4">
      <c r="A60" s="19" t="s">
        <v>103</v>
      </c>
      <c r="B60" s="19">
        <f>IFERROR(VLOOKUP(A60, Tasks!A$89:E$133,2, FALSE), "")</f>
        <v>3</v>
      </c>
      <c r="C60" s="19" t="str">
        <f>IFERROR(VLOOKUP(A60, Tasks!A$89:E$133,3, FALSE), "")</f>
        <v>D7</v>
      </c>
      <c r="D60" s="20" t="str">
        <f>IFERROR(VLOOKUP(A60, Tasks!A$89:E$133,5, FALSE), "")</f>
        <v>MVC: Refactor the view controllers and controllers to respect the MVC patterns</v>
      </c>
      <c r="E60" s="29">
        <v>45035</v>
      </c>
      <c r="F60" s="22" t="s">
        <v>49</v>
      </c>
      <c r="G60" s="22"/>
      <c r="H60" s="23">
        <v>1</v>
      </c>
    </row>
    <row r="61" spans="1:8" ht="26.4">
      <c r="A61" s="24" t="s">
        <v>105</v>
      </c>
      <c r="B61" s="24">
        <f>IFERROR(VLOOKUP(A61, Tasks!A$89:E$133,2, FALSE), "")</f>
        <v>3</v>
      </c>
      <c r="C61" s="24" t="str">
        <f>IFERROR(VLOOKUP(A61, Tasks!A$89:E$133,3, FALSE), "")</f>
        <v>C15</v>
      </c>
      <c r="D61" s="25" t="str">
        <f>IFERROR(VLOOKUP(A61, Tasks!A$89:E$133,5, FALSE), "")</f>
        <v>Export/import: Serialize/Deserialize deck (JSON) and export to file (or create deck)</v>
      </c>
      <c r="E61" s="30">
        <v>45036</v>
      </c>
      <c r="F61" s="27" t="s">
        <v>46</v>
      </c>
      <c r="G61" s="27" t="s">
        <v>59</v>
      </c>
      <c r="H61" s="28">
        <v>1</v>
      </c>
    </row>
    <row r="62" spans="1:8" ht="26.4">
      <c r="A62" s="19" t="s">
        <v>106</v>
      </c>
      <c r="B62" s="19">
        <f>IFERROR(VLOOKUP(A62, Tasks!A$89:E$133,2, FALSE), "")</f>
        <v>3</v>
      </c>
      <c r="C62" s="19" t="str">
        <f>IFERROR(VLOOKUP(A62, Tasks!A$89:E$133,3, FALSE), "")</f>
        <v>C15</v>
      </c>
      <c r="D62" s="20" t="str">
        <f>IFERROR(VLOOKUP(A62, Tasks!A$89:E$133,5, FALSE), "")</f>
        <v>FXML: Add dropdown buttons on the UI to Export/Import JSON on the ProfileView + File Browser + PDF</v>
      </c>
      <c r="E62" s="29">
        <v>45036</v>
      </c>
      <c r="F62" s="22" t="s">
        <v>46</v>
      </c>
      <c r="G62" s="22" t="s">
        <v>59</v>
      </c>
      <c r="H62" s="23">
        <v>0.5</v>
      </c>
    </row>
    <row r="63" spans="1:8" ht="26.4">
      <c r="A63" s="34" t="s">
        <v>107</v>
      </c>
      <c r="B63" s="24">
        <f>IFERROR(VLOOKUP(A63, Tasks!A$89:E$133,2, FALSE), "")</f>
        <v>3</v>
      </c>
      <c r="C63" s="24" t="str">
        <f>IFERROR(VLOOKUP(A63, Tasks!A$89:E$133,3, FALSE), "")</f>
        <v>D7</v>
      </c>
      <c r="D63" s="25" t="str">
        <f>IFERROR(VLOOKUP(A63, Tasks!A$89:E$133,5, FALSE), "")</f>
        <v>Refactor: Manage the navigation in a different way (controller should choose to change view!)</v>
      </c>
      <c r="E63" s="30">
        <v>45036</v>
      </c>
      <c r="F63" s="27" t="s">
        <v>49</v>
      </c>
      <c r="G63" s="27" t="s">
        <v>56</v>
      </c>
      <c r="H63" s="28">
        <v>2</v>
      </c>
    </row>
    <row r="64" spans="1:8" ht="13.2">
      <c r="A64" s="35" t="s">
        <v>108</v>
      </c>
      <c r="B64" s="19">
        <f>IFERROR(VLOOKUP(A64, Tasks!A$89:E$133,2, FALSE), "")</f>
        <v>3</v>
      </c>
      <c r="C64" s="19" t="str">
        <f>IFERROR(VLOOKUP(A64, Tasks!A$89:E$133,3, FALSE), "")</f>
        <v>C10</v>
      </c>
      <c r="D64" s="20" t="str">
        <f>IFERROR(VLOOKUP(A64, Tasks!A$89:E$133,5, FALSE), "")</f>
        <v>Server: ORM Models in Django + Admin Interface</v>
      </c>
      <c r="E64" s="29">
        <v>45037</v>
      </c>
      <c r="F64" s="22" t="s">
        <v>53</v>
      </c>
      <c r="G64" s="22" t="s">
        <v>66</v>
      </c>
      <c r="H64" s="23">
        <v>3</v>
      </c>
    </row>
    <row r="65" spans="1:8" ht="13.2">
      <c r="A65" s="34" t="s">
        <v>109</v>
      </c>
      <c r="B65" s="24">
        <f>IFERROR(VLOOKUP(A65, Tasks!A$89:E$133,2, FALSE), "")</f>
        <v>3</v>
      </c>
      <c r="C65" s="24" t="str">
        <f>IFERROR(VLOOKUP(A65, Tasks!A$89:E$133,3, FALSE), "")</f>
        <v>C10</v>
      </c>
      <c r="D65" s="25" t="str">
        <f>IFERROR(VLOOKUP(A65, Tasks!A$89:E$133,5, FALSE), "")</f>
        <v>Server: Serializers and Deserializers (JSON)</v>
      </c>
      <c r="E65" s="30">
        <v>45038</v>
      </c>
      <c r="F65" s="27" t="s">
        <v>45</v>
      </c>
      <c r="G65" s="27" t="s">
        <v>49</v>
      </c>
      <c r="H65" s="28">
        <v>1</v>
      </c>
    </row>
    <row r="66" spans="1:8" ht="13.2">
      <c r="A66" s="35" t="s">
        <v>110</v>
      </c>
      <c r="B66" s="19">
        <f>IFERROR(VLOOKUP(A66, Tasks!A$89:E$133,2, FALSE), "")</f>
        <v>3</v>
      </c>
      <c r="C66" s="19" t="str">
        <f>IFERROR(VLOOKUP(A66, Tasks!A$89:E$133,3, FALSE), "")</f>
        <v>C16</v>
      </c>
      <c r="D66" s="20" t="str">
        <f>IFERROR(VLOOKUP(A66, Tasks!A$89:E$133,5, FALSE), "")</f>
        <v>FXML: Add buttons on the UI to download PDF (Add option in Export ?)</v>
      </c>
      <c r="E66" s="29">
        <v>45039</v>
      </c>
      <c r="F66" s="22" t="s">
        <v>45</v>
      </c>
      <c r="G66" s="22" t="s">
        <v>53</v>
      </c>
      <c r="H66" s="23">
        <v>0.5</v>
      </c>
    </row>
    <row r="67" spans="1:8" ht="13.2">
      <c r="A67" s="34" t="s">
        <v>111</v>
      </c>
      <c r="B67" s="24">
        <f>IFERROR(VLOOKUP(A67, Tasks!A$89:E$133,2, FALSE), "")</f>
        <v>3</v>
      </c>
      <c r="C67" s="24" t="str">
        <f>IFERROR(VLOOKUP(A67, Tasks!A$89:E$133,3, FALSE), "")</f>
        <v>C16</v>
      </c>
      <c r="D67" s="25" t="str">
        <f>IFERROR(VLOOKUP(A67, Tasks!A$89:E$133,5, FALSE), "")</f>
        <v>PDF: Add logic to download PDF</v>
      </c>
      <c r="E67" s="30">
        <v>45039</v>
      </c>
      <c r="F67" s="27" t="s">
        <v>45</v>
      </c>
      <c r="G67" s="27" t="s">
        <v>53</v>
      </c>
      <c r="H67" s="28">
        <v>2</v>
      </c>
    </row>
    <row r="68" spans="1:8" ht="26.4">
      <c r="A68" s="35" t="s">
        <v>107</v>
      </c>
      <c r="B68" s="19">
        <f>IFERROR(VLOOKUP(A68, Tasks!A$89:E$133,2, FALSE), "")</f>
        <v>3</v>
      </c>
      <c r="C68" s="19" t="str">
        <f>IFERROR(VLOOKUP(A68, Tasks!A$89:E$133,3, FALSE), "")</f>
        <v>D7</v>
      </c>
      <c r="D68" s="20" t="str">
        <f>IFERROR(VLOOKUP(A68, Tasks!A$89:E$133,5, FALSE), "")</f>
        <v>Refactor: Manage the navigation in a different way (controller should choose to change view!)</v>
      </c>
      <c r="E68" s="29">
        <v>45040</v>
      </c>
      <c r="F68" s="22" t="s">
        <v>49</v>
      </c>
      <c r="G68" s="22" t="s">
        <v>56</v>
      </c>
      <c r="H68" s="23">
        <v>0.5</v>
      </c>
    </row>
    <row r="69" spans="1:8" ht="13.2">
      <c r="A69" s="34" t="s">
        <v>112</v>
      </c>
      <c r="B69" s="24">
        <f>IFERROR(VLOOKUP(A69, Tasks!A$89:E$133,2, FALSE), "")</f>
        <v>3</v>
      </c>
      <c r="C69" s="24" t="str">
        <f>IFERROR(VLOOKUP(A69, Tasks!A$89:E$133,3, FALSE), "")</f>
        <v>C17</v>
      </c>
      <c r="D69" s="25" t="str">
        <f>IFERROR(VLOOKUP(A69, Tasks!A$89:E$133,5, FALSE), "")</f>
        <v>Client: Parse LaTeX</v>
      </c>
      <c r="E69" s="30">
        <v>45040</v>
      </c>
      <c r="F69" s="27" t="s">
        <v>56</v>
      </c>
      <c r="G69" s="27" t="s">
        <v>52</v>
      </c>
      <c r="H69" s="28">
        <v>1</v>
      </c>
    </row>
    <row r="70" spans="1:8" ht="13.2">
      <c r="A70" s="35" t="s">
        <v>113</v>
      </c>
      <c r="B70" s="19">
        <f>IFERROR(VLOOKUP(A70, Tasks!A$89:E$133,2, FALSE), "")</f>
        <v>3</v>
      </c>
      <c r="C70" s="19" t="str">
        <f>IFERROR(VLOOKUP(A70, Tasks!A$89:E$133,3, FALSE), "")</f>
        <v>C10</v>
      </c>
      <c r="D70" s="20" t="str">
        <f>IFERROR(VLOOKUP(A70, Tasks!A$89:E$133,5, FALSE), "")</f>
        <v>Finish setting up docker and django</v>
      </c>
      <c r="E70" s="29">
        <v>45040</v>
      </c>
      <c r="F70" s="22" t="s">
        <v>66</v>
      </c>
      <c r="G70" s="22" t="s">
        <v>52</v>
      </c>
      <c r="H70" s="23">
        <v>2.5</v>
      </c>
    </row>
    <row r="71" spans="1:8" ht="13.2">
      <c r="A71" s="34" t="s">
        <v>114</v>
      </c>
      <c r="B71" s="24">
        <f>IFERROR(VLOOKUP(A71, Tasks!A$89:E$133,2, FALSE), "")</f>
        <v>3</v>
      </c>
      <c r="C71" s="24" t="str">
        <f>IFERROR(VLOOKUP(A71, Tasks!A$89:E$133,3, FALSE), "")</f>
        <v>C16</v>
      </c>
      <c r="D71" s="25" t="str">
        <f>IFERROR(VLOOKUP(A71, Tasks!A$89:E$133,5, FALSE), "")</f>
        <v>PDF: Format PDF</v>
      </c>
      <c r="E71" s="30">
        <v>45040</v>
      </c>
      <c r="F71" s="27" t="s">
        <v>53</v>
      </c>
      <c r="G71" s="27" t="s">
        <v>45</v>
      </c>
      <c r="H71" s="28">
        <v>1</v>
      </c>
    </row>
    <row r="72" spans="1:8" ht="13.2">
      <c r="A72" s="35" t="s">
        <v>115</v>
      </c>
      <c r="B72" s="19">
        <f>IFERROR(VLOOKUP(A72, Tasks!A$89:E$133,2, FALSE), "")</f>
        <v>3</v>
      </c>
      <c r="C72" s="19" t="str">
        <f>IFERROR(VLOOKUP(A72, Tasks!A$89:E$133,3, FALSE), "")</f>
        <v>C16</v>
      </c>
      <c r="D72" s="20" t="str">
        <f>IFERROR(VLOOKUP(A72, Tasks!A$89:E$133,5, FALSE), "")</f>
        <v xml:space="preserve">PDF: Add popup when a deck is downloaded </v>
      </c>
      <c r="E72" s="29">
        <v>45040</v>
      </c>
      <c r="F72" s="22" t="s">
        <v>53</v>
      </c>
      <c r="G72" s="22" t="s">
        <v>45</v>
      </c>
      <c r="H72" s="23">
        <v>0.5</v>
      </c>
    </row>
    <row r="73" spans="1:8" ht="13.2">
      <c r="A73" s="34" t="s">
        <v>116</v>
      </c>
      <c r="B73" s="24">
        <f>IFERROR(VLOOKUP(A73, Tasks!A$89:E$133,2, FALSE), "")</f>
        <v>3</v>
      </c>
      <c r="C73" s="24" t="str">
        <f>IFERROR(VLOOKUP(A73, Tasks!A$89:E$133,3, FALSE), "")</f>
        <v>C17</v>
      </c>
      <c r="D73" s="25" t="str">
        <f>IFERROR(VLOOKUP(A73, Tasks!A$89:E$133,5, FALSE), "")</f>
        <v>Client: Parse HTML</v>
      </c>
      <c r="E73" s="30">
        <v>45041</v>
      </c>
      <c r="F73" s="27" t="s">
        <v>70</v>
      </c>
      <c r="G73" s="27" t="s">
        <v>53</v>
      </c>
      <c r="H73" s="28">
        <v>2</v>
      </c>
    </row>
    <row r="74" spans="1:8" ht="13.2">
      <c r="A74" s="35" t="s">
        <v>117</v>
      </c>
      <c r="B74" s="19">
        <f>IFERROR(VLOOKUP(A74, Tasks!A$89:E$133,2, FALSE), "")</f>
        <v>3</v>
      </c>
      <c r="C74" s="19" t="str">
        <f>IFERROR(VLOOKUP(A74, Tasks!A$89:E$133,3, FALSE), "")</f>
        <v>C10</v>
      </c>
      <c r="D74" s="20" t="str">
        <f>IFERROR(VLOOKUP(A74, Tasks!A$89:E$133,5, FALSE), "")</f>
        <v>Finish api (tests + security)</v>
      </c>
      <c r="E74" s="29">
        <v>45041</v>
      </c>
      <c r="F74" s="22" t="s">
        <v>66</v>
      </c>
      <c r="G74" s="22" t="s">
        <v>53</v>
      </c>
      <c r="H74" s="23">
        <v>2</v>
      </c>
    </row>
    <row r="75" spans="1:8" ht="26.4">
      <c r="A75" s="34" t="s">
        <v>105</v>
      </c>
      <c r="B75" s="24">
        <f>IFERROR(VLOOKUP(A75, Tasks!A$89:E$133,2, FALSE), "")</f>
        <v>3</v>
      </c>
      <c r="C75" s="24" t="str">
        <f>IFERROR(VLOOKUP(A75, Tasks!A$89:E$133,3, FALSE), "")</f>
        <v>C15</v>
      </c>
      <c r="D75" s="25" t="str">
        <f>IFERROR(VLOOKUP(A75, Tasks!A$89:E$133,5, FALSE), "")</f>
        <v>Export/import: Serialize/Deserialize deck (JSON) and export to file (or create deck)</v>
      </c>
      <c r="E75" s="30">
        <v>45041</v>
      </c>
      <c r="F75" s="27" t="s">
        <v>46</v>
      </c>
      <c r="G75" s="27" t="s">
        <v>59</v>
      </c>
      <c r="H75" s="28">
        <v>1.5</v>
      </c>
    </row>
    <row r="76" spans="1:8" ht="26.4">
      <c r="A76" s="35" t="s">
        <v>118</v>
      </c>
      <c r="B76" s="19">
        <f>IFERROR(VLOOKUP(A76, Tasks!A$89:E$133,2, FALSE), "")</f>
        <v>3</v>
      </c>
      <c r="C76" s="19" t="str">
        <f>IFERROR(VLOOKUP(A76, Tasks!A$89:E$133,3, FALSE), "")</f>
        <v>C17</v>
      </c>
      <c r="D76" s="20" t="str">
        <f>IFERROR(VLOOKUP(A76, Tasks!A$89:E$133,5, FALSE), "")</f>
        <v>FXML: Create a radio button when inputting card to let the user decide what kind of input he wants</v>
      </c>
      <c r="E76" s="29">
        <v>45041</v>
      </c>
      <c r="F76" s="22" t="s">
        <v>53</v>
      </c>
      <c r="G76" s="22" t="s">
        <v>56</v>
      </c>
      <c r="H76" s="23">
        <v>1.5</v>
      </c>
    </row>
    <row r="77" spans="1:8" ht="26.4">
      <c r="A77" s="34" t="s">
        <v>119</v>
      </c>
      <c r="B77" s="24">
        <f>IFERROR(VLOOKUP(A77, Tasks!A$89:E$133,2, FALSE), "")</f>
        <v>3</v>
      </c>
      <c r="C77" s="24" t="str">
        <f>IFERROR(VLOOKUP(A77, Tasks!A$89:E$133,3, FALSE), "")</f>
        <v>D7</v>
      </c>
      <c r="D77" s="25" t="str">
        <f>IFERROR(VLOOKUP(A77, Tasks!A$89:E$133,5, FALSE), "")</f>
        <v>FXML: Empty EditCardView : Question/Answer is empty | CreateDeck : Deckname/Tag is empty--&gt; Add Popup</v>
      </c>
      <c r="E77" s="30">
        <v>45041</v>
      </c>
      <c r="F77" s="27" t="s">
        <v>56</v>
      </c>
      <c r="G77" s="27"/>
      <c r="H77" s="28">
        <v>0.5</v>
      </c>
    </row>
    <row r="78" spans="1:8" ht="13.2">
      <c r="A78" s="35" t="s">
        <v>120</v>
      </c>
      <c r="B78" s="19">
        <f>IFERROR(VLOOKUP(A78, Tasks!A$89:E$133,2, FALSE), "")</f>
        <v>3</v>
      </c>
      <c r="C78" s="19" t="str">
        <f>IFERROR(VLOOKUP(A78, Tasks!A$89:E$133,3, FALSE), "")</f>
        <v>C10</v>
      </c>
      <c r="D78" s="20" t="str">
        <f>IFERROR(VLOOKUP(A78, Tasks!A$89:E$133,5, FALSE), "")</f>
        <v>Server: Generate Swagger docs</v>
      </c>
      <c r="E78" s="29">
        <v>45042</v>
      </c>
      <c r="F78" s="22" t="s">
        <v>56</v>
      </c>
      <c r="G78" s="22" t="s">
        <v>63</v>
      </c>
      <c r="H78" s="23">
        <v>2</v>
      </c>
    </row>
    <row r="79" spans="1:8" ht="13.2">
      <c r="A79" s="34" t="s">
        <v>121</v>
      </c>
      <c r="B79" s="24">
        <f>IFERROR(VLOOKUP(A79, Tasks!A$89:E$133,2, FALSE), "")</f>
        <v>3</v>
      </c>
      <c r="C79" s="24" t="str">
        <f>IFERROR(VLOOKUP(A79, Tasks!A$89:E$133,3, FALSE), "")</f>
        <v>D7</v>
      </c>
      <c r="D79" s="25" t="str">
        <f>IFERROR(VLOOKUP(A79, Tasks!A$89:E$133,5, FALSE), "")</f>
        <v>ci: refactor CI/CD + build Django docker image</v>
      </c>
      <c r="E79" s="30">
        <v>45042</v>
      </c>
      <c r="F79" s="27" t="s">
        <v>49</v>
      </c>
      <c r="G79" s="27"/>
      <c r="H79" s="28">
        <v>2</v>
      </c>
    </row>
    <row r="80" spans="1:8" ht="13.2">
      <c r="A80" s="35" t="s">
        <v>122</v>
      </c>
      <c r="B80" s="19">
        <f>IFERROR(VLOOKUP(A80, Tasks!A$89:E$133,2, FALSE), "")</f>
        <v>3</v>
      </c>
      <c r="C80" s="19" t="str">
        <f>IFERROR(VLOOKUP(A80, Tasks!A$89:E$133,3, FALSE), "")</f>
        <v>D7</v>
      </c>
      <c r="D80" s="20" t="str">
        <f>IFERROR(VLOOKUP(A80, Tasks!A$89:E$133,5, FALSE), "")</f>
        <v>FXML: Popups should be styled the same as the rest of the application</v>
      </c>
      <c r="E80" s="29">
        <v>45042</v>
      </c>
      <c r="F80" s="22" t="s">
        <v>63</v>
      </c>
      <c r="G80" s="22" t="s">
        <v>56</v>
      </c>
      <c r="H80" s="23">
        <v>3</v>
      </c>
    </row>
    <row r="81" spans="1:8" ht="13.2">
      <c r="A81" s="34" t="s">
        <v>123</v>
      </c>
      <c r="B81" s="24">
        <f>IFERROR(VLOOKUP(A81, Tasks!A$89:E$133,2, FALSE), "")</f>
        <v>3</v>
      </c>
      <c r="C81" s="24" t="str">
        <f>IFERROR(VLOOKUP(A81, Tasks!A$89:E$133,3, FALSE), "")</f>
        <v>D7</v>
      </c>
      <c r="D81" s="25" t="str">
        <f>IFERROR(VLOOKUP(A81, Tasks!A$89:E$133,5, FALSE), "")</f>
        <v>Service: Create a UserService with DTOs + Refactor</v>
      </c>
      <c r="E81" s="30">
        <v>45043</v>
      </c>
      <c r="F81" s="36" t="s">
        <v>49</v>
      </c>
      <c r="G81" s="36" t="s">
        <v>63</v>
      </c>
      <c r="H81" s="28">
        <v>1</v>
      </c>
    </row>
    <row r="82" spans="1:8" ht="13.2">
      <c r="A82" s="35" t="s">
        <v>124</v>
      </c>
      <c r="B82" s="19">
        <f>IFERROR(VLOOKUP(A82, Tasks!A$89:E$133,2, FALSE), "")</f>
        <v>3</v>
      </c>
      <c r="C82" s="19" t="str">
        <f>IFERROR(VLOOKUP(A82, Tasks!A$89:E$133,3, FALSE), "")</f>
        <v>C17</v>
      </c>
      <c r="D82" s="20" t="str">
        <f>IFERROR(VLOOKUP(A82, Tasks!A$89:E$133,5, FALSE), "")</f>
        <v>FXML + Client: Add HTMLView in editDeck</v>
      </c>
      <c r="E82" s="29">
        <v>45043</v>
      </c>
      <c r="F82" s="15" t="s">
        <v>70</v>
      </c>
      <c r="G82" s="15" t="s">
        <v>56</v>
      </c>
      <c r="H82" s="23">
        <v>5</v>
      </c>
    </row>
    <row r="83" spans="1:8" ht="13.2">
      <c r="A83" s="34" t="s">
        <v>125</v>
      </c>
      <c r="B83" s="24">
        <f>IFERROR(VLOOKUP(A83, Tasks!A$89:E$133,2, FALSE), "")</f>
        <v>3</v>
      </c>
      <c r="C83" s="24" t="str">
        <f>IFERROR(VLOOKUP(A83, Tasks!A$89:E$133,3, FALSE), "")</f>
        <v>C10</v>
      </c>
      <c r="D83" s="25" t="str">
        <f>IFERROR(VLOOKUP(A83, Tasks!A$89:E$133,5, FALSE), "")</f>
        <v>Server: Deployment (on Cloud) + DNS</v>
      </c>
      <c r="E83" s="30">
        <v>45043</v>
      </c>
      <c r="F83" s="36" t="s">
        <v>70</v>
      </c>
      <c r="G83" s="36" t="s">
        <v>49</v>
      </c>
      <c r="H83" s="28">
        <v>3</v>
      </c>
    </row>
    <row r="84" spans="1:8" ht="13.2">
      <c r="A84" s="35" t="s">
        <v>126</v>
      </c>
      <c r="B84" s="19">
        <f>IFERROR(VLOOKUP(A84, Tasks!A$89:E$133,2, FALSE), "")</f>
        <v>3</v>
      </c>
      <c r="C84" s="19" t="str">
        <f>IFERROR(VLOOKUP(A84, Tasks!A$89:E$133,3, FALSE), "")</f>
        <v>C10</v>
      </c>
      <c r="D84" s="20" t="str">
        <f>IFERROR(VLOOKUP(A84, Tasks!A$89:E$133,5, FALSE), "")</f>
        <v>Client: Refactor services (Call HTTP API) with swapped pilot-copilot</v>
      </c>
      <c r="E84" s="29">
        <v>45044</v>
      </c>
      <c r="F84" s="15" t="s">
        <v>53</v>
      </c>
      <c r="G84" s="15" t="s">
        <v>52</v>
      </c>
      <c r="H84" s="23">
        <v>5</v>
      </c>
    </row>
    <row r="85" spans="1:8" ht="13.2">
      <c r="A85" s="34" t="s">
        <v>127</v>
      </c>
      <c r="B85" s="24">
        <f>IFERROR(VLOOKUP(A85, Tasks!A$89:E$133,2, FALSE), "")</f>
        <v>3</v>
      </c>
      <c r="C85" s="24" t="str">
        <f>IFERROR(VLOOKUP(A85, Tasks!A$89:E$133,3, FALSE), "")</f>
        <v>C10</v>
      </c>
      <c r="D85" s="25" t="str">
        <f>IFERROR(VLOOKUP(A85, Tasks!A$89:E$133,5, FALSE), "")</f>
        <v>Client: Refactor services (Call HTTP API)</v>
      </c>
      <c r="E85" s="30">
        <v>45044</v>
      </c>
      <c r="F85" s="36" t="s">
        <v>52</v>
      </c>
      <c r="G85" s="36" t="s">
        <v>53</v>
      </c>
      <c r="H85" s="28">
        <v>6</v>
      </c>
    </row>
    <row r="86" spans="1:8" ht="13.2">
      <c r="A86" s="35" t="s">
        <v>128</v>
      </c>
      <c r="B86" s="19">
        <v>3</v>
      </c>
      <c r="C86" s="19" t="str">
        <f>IFERROR(VLOOKUP(A86, Tasks!A$89:E$133,3, FALSE), "")</f>
        <v>C16</v>
      </c>
      <c r="D86" s="20" t="str">
        <f>IFERROR(VLOOKUP(A86, Tasks!A$89:E$133,5, FALSE), "")</f>
        <v>PDF: format A6 for cards</v>
      </c>
      <c r="E86" s="29">
        <v>45044</v>
      </c>
      <c r="F86" s="15" t="s">
        <v>56</v>
      </c>
      <c r="G86" s="15" t="s">
        <v>45</v>
      </c>
      <c r="H86" s="23">
        <v>3</v>
      </c>
    </row>
    <row r="87" spans="1:8" ht="13.2">
      <c r="A87" s="34" t="s">
        <v>129</v>
      </c>
      <c r="B87" s="24">
        <f>IFERROR(VLOOKUP(A87, Tasks!A$89:E$133,2, FALSE), "")</f>
        <v>3</v>
      </c>
      <c r="C87" s="24" t="str">
        <f>IFERROR(VLOOKUP(A87, Tasks!A$89:E$133,3, FALSE), "")</f>
        <v>C17</v>
      </c>
      <c r="D87" s="25" t="str">
        <f>IFERROR(VLOOKUP(A87, Tasks!A$89:E$133,5, FALSE), "")</f>
        <v>FXML:: Create a webView when studying HTML</v>
      </c>
      <c r="E87" s="30">
        <v>45044</v>
      </c>
      <c r="F87" s="36" t="s">
        <v>63</v>
      </c>
      <c r="G87" s="36" t="s">
        <v>70</v>
      </c>
      <c r="H87" s="28">
        <v>2.5</v>
      </c>
    </row>
    <row r="88" spans="1:8" ht="13.2">
      <c r="A88" s="35" t="s">
        <v>130</v>
      </c>
      <c r="B88" s="19">
        <f>IFERROR(VLOOKUP(A88, Tasks!A$89:E$133,2, FALSE), "")</f>
        <v>3</v>
      </c>
      <c r="C88" s="19" t="str">
        <f>IFERROR(VLOOKUP(A88, Tasks!A$89:E$133,3, FALSE), "")</f>
        <v>C17</v>
      </c>
      <c r="D88" s="20" t="str">
        <f>IFERROR(VLOOKUP(A88, Tasks!A$89:E$133,5, FALSE), "")</f>
        <v>FXML + Client: Add latexView in editDeck</v>
      </c>
      <c r="E88" s="29">
        <v>45044</v>
      </c>
      <c r="F88" s="15" t="s">
        <v>52</v>
      </c>
      <c r="G88" s="15" t="s">
        <v>70</v>
      </c>
      <c r="H88" s="23">
        <v>3</v>
      </c>
    </row>
    <row r="89" spans="1:8" ht="13.2">
      <c r="A89" s="34" t="s">
        <v>131</v>
      </c>
      <c r="B89" s="24">
        <f>IFERROR(VLOOKUP(A89, Tasks!A$89:E$133,2, FALSE), "")</f>
        <v>3</v>
      </c>
      <c r="C89" s="24" t="str">
        <f>IFERROR(VLOOKUP(A89, Tasks!A$89:E$133,3, FALSE), "")</f>
        <v>C17</v>
      </c>
      <c r="D89" s="25" t="str">
        <f>IFERROR(VLOOKUP(A89, Tasks!A$89:E$133,5, FALSE), "")</f>
        <v>Django DB: Add question type and answer type to database</v>
      </c>
      <c r="E89" s="30">
        <v>45044</v>
      </c>
      <c r="F89" s="36" t="s">
        <v>56</v>
      </c>
      <c r="G89" s="36" t="s">
        <v>66</v>
      </c>
      <c r="H89" s="28">
        <v>3</v>
      </c>
    </row>
    <row r="90" spans="1:8" ht="26.4">
      <c r="A90" s="35" t="s">
        <v>132</v>
      </c>
      <c r="B90" s="19">
        <f>IFERROR(VLOOKUP(A90, Tasks!A$89:E$133,2, FALSE), "")</f>
        <v>3</v>
      </c>
      <c r="C90" s="19" t="str">
        <f>IFERROR(VLOOKUP(A90, Tasks!A$89:E$133,3, FALSE), "")</f>
        <v>C17</v>
      </c>
      <c r="D90" s="20" t="str">
        <f>IFERROR(VLOOKUP(A90, Tasks!A$89:E$133,5, FALSE), "")</f>
        <v>FXML + Client + Refactor: Refactor HTML, LaTeX, plain text into learning mode</v>
      </c>
      <c r="E90" s="29">
        <v>45013</v>
      </c>
      <c r="F90" s="15" t="s">
        <v>52</v>
      </c>
      <c r="G90" s="15" t="s">
        <v>70</v>
      </c>
      <c r="H90" s="23">
        <v>1</v>
      </c>
    </row>
    <row r="91" spans="1:8" ht="13.2">
      <c r="A91" s="34" t="s">
        <v>133</v>
      </c>
      <c r="B91" s="24">
        <f>IFERROR(VLOOKUP(A91, Tasks!A$89:E$133,2, FALSE), "")</f>
        <v>3</v>
      </c>
      <c r="C91" s="24" t="str">
        <f>IFERROR(VLOOKUP(A91, Tasks!A$89:E$133,3, FALSE), "")</f>
        <v>C17</v>
      </c>
      <c r="D91" s="25" t="str">
        <f>IFERROR(VLOOKUP(A91, Tasks!A$89:E$133,5, FALSE), "")</f>
        <v>FXML + Client: Add latexView in learningMode</v>
      </c>
      <c r="E91" s="30">
        <v>45013</v>
      </c>
      <c r="F91" s="36" t="s">
        <v>52</v>
      </c>
      <c r="G91" s="36" t="s">
        <v>70</v>
      </c>
      <c r="H91" s="28">
        <v>1.5</v>
      </c>
    </row>
    <row r="92" spans="1:8" ht="26.4">
      <c r="A92" s="35" t="s">
        <v>105</v>
      </c>
      <c r="B92" s="19">
        <f>IFERROR(VLOOKUP(A92, Tasks!A$89:E$133,2, FALSE), "")</f>
        <v>3</v>
      </c>
      <c r="C92" s="19" t="str">
        <f>IFERROR(VLOOKUP(A92, Tasks!A$89:E$133,3, FALSE), "")</f>
        <v>C15</v>
      </c>
      <c r="D92" s="20" t="str">
        <f>IFERROR(VLOOKUP(A92, Tasks!A$89:E$133,5, FALSE), "")</f>
        <v>Export/import: Serialize/Deserialize deck (JSON) and export to file (or create deck)</v>
      </c>
      <c r="E92" s="29">
        <v>45045</v>
      </c>
      <c r="F92" s="15" t="s">
        <v>46</v>
      </c>
      <c r="G92" s="15" t="s">
        <v>59</v>
      </c>
      <c r="H92" s="23">
        <v>2</v>
      </c>
    </row>
    <row r="93" spans="1:8" ht="13.2">
      <c r="A93" s="34" t="s">
        <v>125</v>
      </c>
      <c r="B93" s="24">
        <f>IFERROR(VLOOKUP(A93, Tasks!A$89:E$133,2, FALSE), "")</f>
        <v>3</v>
      </c>
      <c r="C93" s="24" t="str">
        <f>IFERROR(VLOOKUP(A93, Tasks!A$89:E$133,3, FALSE), "")</f>
        <v>C10</v>
      </c>
      <c r="D93" s="25" t="str">
        <f>IFERROR(VLOOKUP(A93, Tasks!A$89:E$133,5, FALSE), "")</f>
        <v>Server: Deployment (on Cloud) + DNS</v>
      </c>
      <c r="E93" s="30">
        <v>45045</v>
      </c>
      <c r="F93" s="36" t="s">
        <v>70</v>
      </c>
      <c r="G93" s="36" t="s">
        <v>49</v>
      </c>
      <c r="H93" s="28">
        <v>1.5</v>
      </c>
    </row>
    <row r="94" spans="1:8" ht="13.2">
      <c r="A94" s="37" t="s">
        <v>134</v>
      </c>
      <c r="B94" s="19">
        <f>IFERROR(VLOOKUP(A94, Tasks!A$89:E$133,2, FALSE), "")</f>
        <v>3</v>
      </c>
      <c r="C94" s="19" t="str">
        <f>IFERROR(VLOOKUP(A94, Tasks!A$89:E$133,3, FALSE), "")</f>
        <v>C10</v>
      </c>
      <c r="D94" s="20" t="str">
        <f>IFERROR(VLOOKUP(A94, Tasks!A$89:E$133,5, FALSE), "")</f>
        <v>Server: Bug fixes and tags server side</v>
      </c>
      <c r="E94" s="38">
        <v>45045</v>
      </c>
      <c r="F94" s="39" t="s">
        <v>66</v>
      </c>
      <c r="G94" s="39" t="s">
        <v>52</v>
      </c>
      <c r="H94" s="40">
        <v>2</v>
      </c>
    </row>
    <row r="95" spans="1:8" ht="13.2">
      <c r="A95" s="34" t="s">
        <v>135</v>
      </c>
      <c r="B95" s="24">
        <f>IFERROR(VLOOKUP(A95, Tasks!A$89:E$133,2, FALSE), "")</f>
        <v>3</v>
      </c>
      <c r="C95" s="24" t="str">
        <f>IFERROR(VLOOKUP(A95, Tasks!A$89:E$133,3, FALSE), "")</f>
        <v>C10</v>
      </c>
      <c r="D95" s="25" t="str">
        <f>IFERROR(VLOOKUP(A95, Tasks!A$89:E$133,5, FALSE), "")</f>
        <v>Server: Add API for Sign Up (create an account) + edit password</v>
      </c>
      <c r="E95" s="30">
        <v>45045</v>
      </c>
      <c r="F95" s="36" t="s">
        <v>66</v>
      </c>
      <c r="G95" s="41" t="s">
        <v>56</v>
      </c>
      <c r="H95" s="28">
        <v>1</v>
      </c>
    </row>
    <row r="96" spans="1:8" ht="13.2">
      <c r="A96" s="35" t="s">
        <v>136</v>
      </c>
      <c r="B96" s="19">
        <f>IFERROR(VLOOKUP(A96, Tasks!A$89:E$133,2, FALSE), "")</f>
        <v>3</v>
      </c>
      <c r="C96" s="19" t="str">
        <f>IFERROR(VLOOKUP(A96, Tasks!A$89:E$133,3, FALSE), "")</f>
        <v>C10</v>
      </c>
      <c r="D96" s="20" t="str">
        <f>IFERROR(VLOOKUP(A96, Tasks!A$89:E$133,5, FALSE), "")</f>
        <v>Refactor services</v>
      </c>
      <c r="E96" s="29">
        <v>45046</v>
      </c>
      <c r="F96" s="15" t="s">
        <v>53</v>
      </c>
      <c r="G96" s="15"/>
      <c r="H96" s="23">
        <v>2</v>
      </c>
    </row>
    <row r="97" spans="1:8" ht="26.4">
      <c r="A97" s="34" t="s">
        <v>105</v>
      </c>
      <c r="B97" s="24">
        <f>IFERROR(VLOOKUP(A97, Tasks!A$89:E$133,2, FALSE), "")</f>
        <v>3</v>
      </c>
      <c r="C97" s="24" t="str">
        <f>IFERROR(VLOOKUP(A97, Tasks!A$89:E$133,3, FALSE), "")</f>
        <v>C15</v>
      </c>
      <c r="D97" s="25" t="str">
        <f>IFERROR(VLOOKUP(A97, Tasks!A$89:E$133,5, FALSE), "")</f>
        <v>Export/import: Serialize/Deserialize deck (JSON) and export to file (or create deck)</v>
      </c>
      <c r="E97" s="30">
        <v>45046</v>
      </c>
      <c r="F97" s="36" t="s">
        <v>46</v>
      </c>
      <c r="G97" s="36" t="s">
        <v>59</v>
      </c>
      <c r="H97" s="28">
        <v>1</v>
      </c>
    </row>
    <row r="98" spans="1:8" ht="13.2">
      <c r="A98" s="35" t="s">
        <v>136</v>
      </c>
      <c r="B98" s="19">
        <f>IFERROR(VLOOKUP(A98, Tasks!A$89:E$133,2, FALSE), "")</f>
        <v>3</v>
      </c>
      <c r="C98" s="19" t="str">
        <f>IFERROR(VLOOKUP(A98, Tasks!A$89:E$133,3, FALSE), "")</f>
        <v>C10</v>
      </c>
      <c r="D98" s="20" t="str">
        <f>IFERROR(VLOOKUP(A98, Tasks!A$89:E$133,5, FALSE), "")</f>
        <v>Refactor services</v>
      </c>
      <c r="E98" s="29">
        <v>45046</v>
      </c>
      <c r="F98" s="15" t="s">
        <v>66</v>
      </c>
      <c r="G98" s="15" t="s">
        <v>70</v>
      </c>
      <c r="H98" s="23">
        <v>1</v>
      </c>
    </row>
    <row r="99" spans="1:8" ht="13.2">
      <c r="A99" s="34" t="s">
        <v>123</v>
      </c>
      <c r="B99" s="24">
        <f>IFERROR(VLOOKUP(A99, Tasks!A$89:E$133,2, FALSE), "")</f>
        <v>3</v>
      </c>
      <c r="C99" s="24" t="str">
        <f>IFERROR(VLOOKUP(A99, Tasks!A$89:E$133,3, FALSE), "")</f>
        <v>D7</v>
      </c>
      <c r="D99" s="25" t="str">
        <f>IFERROR(VLOOKUP(A99, Tasks!A$89:E$133,5, FALSE), "")</f>
        <v>Service: Create a UserService with DTOs + Refactor</v>
      </c>
      <c r="E99" s="30">
        <v>45046</v>
      </c>
      <c r="F99" s="36" t="s">
        <v>49</v>
      </c>
      <c r="G99" s="36" t="s">
        <v>63</v>
      </c>
      <c r="H99" s="28">
        <v>1</v>
      </c>
    </row>
    <row r="100" spans="1:8" ht="13.2">
      <c r="A100" s="35" t="s">
        <v>137</v>
      </c>
      <c r="B100" s="19">
        <f>IFERROR(VLOOKUP(A100, Tasks!A$89:E$133,2, FALSE), "")</f>
        <v>3</v>
      </c>
      <c r="C100" s="19" t="str">
        <f>IFERROR(VLOOKUP(A100, Tasks!A$89:E$133,3, FALSE), "")</f>
        <v>D7</v>
      </c>
      <c r="D100" s="20" t="str">
        <f>IFERROR(VLOOKUP(A100, Tasks!A$89:E$133,5, FALSE), "")</f>
        <v>Refactor + FXML + Client: Fix Review Mode</v>
      </c>
      <c r="E100" s="29">
        <v>45046</v>
      </c>
      <c r="F100" s="15" t="s">
        <v>52</v>
      </c>
      <c r="G100" s="15"/>
      <c r="H100" s="23">
        <v>1.5</v>
      </c>
    </row>
    <row r="101" spans="1:8" ht="13.2">
      <c r="A101" s="34" t="s">
        <v>138</v>
      </c>
      <c r="B101" s="24">
        <f>IFERROR(VLOOKUP(A101, Tasks!A$89:E$133,2, FALSE), "")</f>
        <v>3</v>
      </c>
      <c r="C101" s="24" t="str">
        <f>IFERROR(VLOOKUP(A101, Tasks!A$89:E$133,3, FALSE), "")</f>
        <v>C10</v>
      </c>
      <c r="D101" s="25" t="str">
        <f>IFERROR(VLOOKUP(A101, Tasks!A$89:E$133,5, FALSE), "")</f>
        <v>fix tags in UI + refactor</v>
      </c>
      <c r="E101" s="30">
        <v>45047</v>
      </c>
      <c r="F101" s="36" t="s">
        <v>66</v>
      </c>
      <c r="G101" s="36"/>
      <c r="H101" s="28">
        <v>2</v>
      </c>
    </row>
    <row r="102" spans="1:8" ht="13.2">
      <c r="A102" s="35" t="s">
        <v>139</v>
      </c>
      <c r="B102" s="19">
        <f>IFERROR(VLOOKUP(A102, Tasks!A$89:E$133,2, FALSE), "")</f>
        <v>3</v>
      </c>
      <c r="C102" s="19" t="str">
        <f>IFERROR(VLOOKUP(A102, Tasks!A$89:E$133,3, FALSE), "")</f>
        <v>C10</v>
      </c>
      <c r="D102" s="20" t="str">
        <f>IFERROR(VLOOKUP(A102, Tasks!A$89:E$133,5, FALSE), "")</f>
        <v>API Client bug fixes</v>
      </c>
      <c r="E102" s="29">
        <v>45046</v>
      </c>
      <c r="F102" s="15" t="s">
        <v>53</v>
      </c>
      <c r="G102" s="15" t="s">
        <v>66</v>
      </c>
      <c r="H102" s="23">
        <v>3</v>
      </c>
    </row>
    <row r="103" spans="1:8" ht="13.2">
      <c r="A103" s="34" t="s">
        <v>123</v>
      </c>
      <c r="B103" s="24">
        <f>IFERROR(VLOOKUP(A103, Tasks!A$89:E$133,2, FALSE), "")</f>
        <v>3</v>
      </c>
      <c r="C103" s="24" t="str">
        <f>IFERROR(VLOOKUP(A103, Tasks!A$89:E$133,3, FALSE), "")</f>
        <v>D7</v>
      </c>
      <c r="D103" s="25" t="str">
        <f>IFERROR(VLOOKUP(A103, Tasks!A$89:E$133,5, FALSE), "")</f>
        <v>Service: Create a UserService with DTOs + Refactor</v>
      </c>
      <c r="E103" s="30">
        <v>45047</v>
      </c>
      <c r="F103" s="36" t="s">
        <v>49</v>
      </c>
      <c r="G103" s="36" t="s">
        <v>63</v>
      </c>
      <c r="H103" s="28">
        <v>3</v>
      </c>
    </row>
    <row r="104" spans="1:8" ht="13.2">
      <c r="A104" s="35" t="s">
        <v>140</v>
      </c>
      <c r="B104" s="19">
        <f>IFERROR(VLOOKUP(A104, Tasks!A$89:E$133,2, FALSE), "")</f>
        <v>3</v>
      </c>
      <c r="C104" s="19" t="str">
        <f>IFERROR(VLOOKUP(A104, Tasks!A$89:E$133,3, FALSE), "")</f>
        <v>C15</v>
      </c>
      <c r="D104" s="20" t="str">
        <f>IFERROR(VLOOKUP(A104, Tasks!A$89:E$133,5, FALSE), "")</f>
        <v>Export/Import: Rewrite tests</v>
      </c>
      <c r="E104" s="29">
        <v>45046</v>
      </c>
      <c r="F104" s="15" t="s">
        <v>59</v>
      </c>
      <c r="G104" s="15"/>
      <c r="H104" s="23">
        <v>1</v>
      </c>
    </row>
    <row r="105" spans="1:8" ht="13.2">
      <c r="A105" s="34" t="s">
        <v>141</v>
      </c>
      <c r="B105" s="24">
        <f>IFERROR(VLOOKUP(A105, Tasks!A$89:E$133,2, FALSE), "")</f>
        <v>3</v>
      </c>
      <c r="C105" s="24" t="str">
        <f>IFERROR(VLOOKUP(A105, Tasks!A$89:E$133,3, FALSE), "")</f>
        <v>D7</v>
      </c>
      <c r="D105" s="25" t="str">
        <f>IFERROR(VLOOKUP(A105, Tasks!A$89:E$133,5, FALSE), "")</f>
        <v>Refactor error handling</v>
      </c>
      <c r="E105" s="30">
        <v>45047</v>
      </c>
      <c r="F105" s="36" t="s">
        <v>66</v>
      </c>
      <c r="G105" s="36"/>
      <c r="H105" s="28">
        <v>2</v>
      </c>
    </row>
    <row r="106" spans="1:8" ht="26.4">
      <c r="A106" s="35" t="s">
        <v>106</v>
      </c>
      <c r="B106" s="19">
        <f>IFERROR(VLOOKUP(A106, Tasks!A$89:E$133,2, FALSE), "")</f>
        <v>3</v>
      </c>
      <c r="C106" s="19" t="str">
        <f>IFERROR(VLOOKUP(A106, Tasks!A$89:E$133,3, FALSE), "")</f>
        <v>C15</v>
      </c>
      <c r="D106" s="20" t="str">
        <f>IFERROR(VLOOKUP(A106, Tasks!A$89:E$133,5, FALSE), "")</f>
        <v>FXML: Add dropdown buttons on the UI to Export/Import JSON on the ProfileView + File Browser + PDF</v>
      </c>
      <c r="E106" s="29">
        <v>45047</v>
      </c>
      <c r="F106" s="15" t="s">
        <v>46</v>
      </c>
      <c r="G106" s="15" t="s">
        <v>59</v>
      </c>
      <c r="H106" s="23">
        <v>1.5</v>
      </c>
    </row>
    <row r="107" spans="1:8" ht="13.2">
      <c r="A107" s="34" t="s">
        <v>142</v>
      </c>
      <c r="B107" s="24">
        <f>IFERROR(VLOOKUP(A107, Tasks!A$89:E$133,2, FALSE), "")</f>
        <v>3</v>
      </c>
      <c r="C107" s="24" t="str">
        <f>IFERROR(VLOOKUP(A107, Tasks!A$89:E$133,3, FALSE), "")</f>
        <v>D7</v>
      </c>
      <c r="D107" s="25" t="str">
        <f>IFERROR(VLOOKUP(A107, Tasks!A$89:E$133,5, FALSE), "")</f>
        <v>Bug: fix the json deck exporter file chooser not working properly</v>
      </c>
      <c r="E107" s="30">
        <v>45047</v>
      </c>
      <c r="F107" s="36" t="s">
        <v>45</v>
      </c>
      <c r="G107" s="36" t="s">
        <v>59</v>
      </c>
      <c r="H107" s="28">
        <v>1</v>
      </c>
    </row>
    <row r="108" spans="1:8" ht="26.4">
      <c r="A108" s="35" t="s">
        <v>143</v>
      </c>
      <c r="B108" s="19">
        <f>IFERROR(VLOOKUP(A108, Tasks!A$89:E$133,2, FALSE), "")</f>
        <v>3</v>
      </c>
      <c r="C108" s="19" t="str">
        <f>IFERROR(VLOOKUP(A108, Tasks!A$89:E$133,3, FALSE), "")</f>
        <v>C17</v>
      </c>
      <c r="D108" s="20" t="str">
        <f>IFERROR(VLOOKUP(A108, Tasks!A$89:E$133,5, FALSE), "")</f>
        <v>Refactor + client + server: Make card use card type and not be statically bound</v>
      </c>
      <c r="E108" s="29">
        <v>45047</v>
      </c>
      <c r="F108" s="15" t="s">
        <v>52</v>
      </c>
      <c r="G108" s="15" t="s">
        <v>66</v>
      </c>
      <c r="H108" s="23">
        <v>2</v>
      </c>
    </row>
    <row r="109" spans="1:8" ht="13.2">
      <c r="A109" s="34" t="s">
        <v>138</v>
      </c>
      <c r="B109" s="24">
        <f>IFERROR(VLOOKUP(A109, Tasks!A$89:E$133,2, FALSE), "")</f>
        <v>3</v>
      </c>
      <c r="C109" s="24" t="str">
        <f>IFERROR(VLOOKUP(A109, Tasks!A$89:E$133,3, FALSE), "")</f>
        <v>C10</v>
      </c>
      <c r="D109" s="25" t="str">
        <f>IFERROR(VLOOKUP(A109, Tasks!A$89:E$133,5, FALSE), "")</f>
        <v>fix tags in UI + refactor</v>
      </c>
      <c r="E109" s="30">
        <v>45046</v>
      </c>
      <c r="F109" s="36" t="s">
        <v>66</v>
      </c>
      <c r="G109" s="36" t="s">
        <v>70</v>
      </c>
      <c r="H109" s="28">
        <v>2</v>
      </c>
    </row>
    <row r="110" spans="1:8" ht="26.4">
      <c r="A110" s="35" t="s">
        <v>144</v>
      </c>
      <c r="B110" s="19">
        <f>IFERROR(VLOOKUP(A110, Tasks!A$89:E$133,2, FALSE), "")</f>
        <v>3</v>
      </c>
      <c r="C110" s="19" t="str">
        <f>IFERROR(VLOOKUP(A110, Tasks!A$89:E$133,3, FALSE), "")</f>
        <v>D7</v>
      </c>
      <c r="D110" s="20" t="str">
        <f>IFERROR(VLOOKUP(A110, Tasks!A$89:E$133,5, FALSE), "")</f>
        <v>CreateCard: add length limit to size of question and answer (e.g. max 250 chars per question or per answer)</v>
      </c>
      <c r="E110" s="29">
        <v>45047</v>
      </c>
      <c r="F110" s="15" t="s">
        <v>63</v>
      </c>
      <c r="G110" s="15" t="s">
        <v>56</v>
      </c>
      <c r="H110" s="23">
        <v>2.5</v>
      </c>
    </row>
    <row r="111" spans="1:8" ht="13.2">
      <c r="A111" s="34" t="s">
        <v>145</v>
      </c>
      <c r="B111" s="24">
        <f>IFERROR(VLOOKUP(A111, Tasks!A$89:E$133,2, FALSE), "")</f>
        <v>3</v>
      </c>
      <c r="C111" s="24" t="str">
        <f>IFERROR(VLOOKUP(A111, Tasks!A$89:E$133,3, FALSE), "")</f>
        <v>D7</v>
      </c>
      <c r="D111" s="25" t="str">
        <f>IFERROR(VLOOKUP(A111, Tasks!A$89:E$133,5, FALSE), "")</f>
        <v>Refactor: Profile view add deck mth</v>
      </c>
      <c r="E111" s="30">
        <v>45047</v>
      </c>
      <c r="F111" s="36" t="s">
        <v>45</v>
      </c>
      <c r="G111" s="36"/>
      <c r="H111" s="28">
        <v>1</v>
      </c>
    </row>
    <row r="112" spans="1:8" ht="13.2">
      <c r="A112" s="35" t="s">
        <v>146</v>
      </c>
      <c r="B112" s="19">
        <f>IFERROR(VLOOKUP(A112, Tasks!A$89:E998,2, FALSE), "")</f>
        <v>4</v>
      </c>
      <c r="C112" s="19" t="str">
        <f>IFERROR(VLOOKUP(A112, Tasks!A$89:E998,3, FALSE), "")</f>
        <v>D8</v>
      </c>
      <c r="D112" s="20" t="str">
        <f>IFERROR(VLOOKUP(A112, Tasks!A$89:E998,5, FALSE), "")</f>
        <v>Fix: Fix issue in import/export</v>
      </c>
      <c r="E112" s="29">
        <v>45052</v>
      </c>
      <c r="F112" s="15" t="s">
        <v>46</v>
      </c>
      <c r="G112" s="15" t="s">
        <v>49</v>
      </c>
      <c r="H112" s="23">
        <v>0.5</v>
      </c>
    </row>
    <row r="113" spans="1:8" ht="13.2">
      <c r="A113" s="42" t="s">
        <v>147</v>
      </c>
      <c r="B113" s="24">
        <f>IFERROR(VLOOKUP(A113, Tasks!A$89:E998,2, FALSE), "")</f>
        <v>4</v>
      </c>
      <c r="C113" s="24" t="str">
        <f>IFERROR(VLOOKUP(A113, Tasks!A$89:E998,3, FALSE), "")</f>
        <v>C11</v>
      </c>
      <c r="D113" s="25" t="str">
        <f>IFERROR(VLOOKUP(A113, Tasks!A$89:E998,5, FALSE), "")</f>
        <v>FXML: Add View for store + ViewController</v>
      </c>
      <c r="E113" s="30">
        <v>45052</v>
      </c>
      <c r="F113" s="36" t="s">
        <v>46</v>
      </c>
      <c r="G113" s="36" t="s">
        <v>49</v>
      </c>
      <c r="H113" s="28">
        <v>1.5</v>
      </c>
    </row>
    <row r="114" spans="1:8" ht="13.2">
      <c r="A114" s="35" t="s">
        <v>148</v>
      </c>
      <c r="B114" s="19">
        <f>IFERROR(VLOOKUP(A114, Tasks!A$89:E998,2, FALSE), "")</f>
        <v>4</v>
      </c>
      <c r="C114" s="19" t="str">
        <f>IFERROR(VLOOKUP(A114, Tasks!A$89:E998,3, FALSE), "")</f>
        <v>C11</v>
      </c>
      <c r="D114" s="20" t="str">
        <f>IFERROR(VLOOKUP(A114, Tasks!A$89:E998,5, FALSE), "")</f>
        <v>Database: Review Database model for the store + API</v>
      </c>
      <c r="E114" s="29">
        <v>45052</v>
      </c>
      <c r="F114" s="15" t="s">
        <v>49</v>
      </c>
      <c r="G114" s="15" t="s">
        <v>46</v>
      </c>
      <c r="H114" s="23">
        <v>1</v>
      </c>
    </row>
    <row r="115" spans="1:8" ht="13.2">
      <c r="A115" s="34" t="s">
        <v>149</v>
      </c>
      <c r="B115" s="24">
        <f>IFERROR(VLOOKUP(A115, Tasks!A$89:E998,2, FALSE), "")</f>
        <v>4</v>
      </c>
      <c r="C115" s="24" t="str">
        <f>IFERROR(VLOOKUP(A115, Tasks!A$89:E998,3, FALSE), "")</f>
        <v>C9</v>
      </c>
      <c r="D115" s="25" t="str">
        <f>IFERROR(VLOOKUP(A115, Tasks!A$89:E998,5, FALSE), "")</f>
        <v xml:space="preserve">FXML: Add menu for GLOBAL stats (between Home and Settings) </v>
      </c>
      <c r="E115" s="30">
        <v>45053</v>
      </c>
      <c r="F115" s="36" t="s">
        <v>63</v>
      </c>
      <c r="G115" s="36" t="s">
        <v>56</v>
      </c>
      <c r="H115" s="28">
        <v>1</v>
      </c>
    </row>
    <row r="116" spans="1:8" ht="13.2">
      <c r="A116" s="35" t="s">
        <v>150</v>
      </c>
      <c r="B116" s="19">
        <f>IFERROR(VLOOKUP(A116, Tasks!A$89:E998,2, FALSE), "")</f>
        <v>4</v>
      </c>
      <c r="C116" s="19" t="str">
        <f>IFERROR(VLOOKUP(A116, Tasks!A$89:E998,3, FALSE), "")</f>
        <v>C8</v>
      </c>
      <c r="D116" s="20" t="str">
        <f>IFERROR(VLOOKUP(A116, Tasks!A$89:E998,5, FALSE), "")</f>
        <v>FXML: Handle different card type in all learning mode</v>
      </c>
      <c r="E116" s="29">
        <v>45053</v>
      </c>
      <c r="F116" s="15" t="s">
        <v>53</v>
      </c>
      <c r="G116" s="15" t="s">
        <v>59</v>
      </c>
      <c r="H116" s="23">
        <v>2</v>
      </c>
    </row>
    <row r="117" spans="1:8" ht="13.2">
      <c r="A117" s="34" t="s">
        <v>147</v>
      </c>
      <c r="B117" s="24">
        <f>IFERROR(VLOOKUP(A117, Tasks!A$89:E998,2, FALSE), "")</f>
        <v>4</v>
      </c>
      <c r="C117" s="24" t="str">
        <f>IFERROR(VLOOKUP(A117, Tasks!A$89:E998,3, FALSE), "")</f>
        <v>C11</v>
      </c>
      <c r="D117" s="25" t="str">
        <f>IFERROR(VLOOKUP(A117, Tasks!A$89:E998,5, FALSE), "")</f>
        <v>FXML: Add View for store + ViewController</v>
      </c>
      <c r="E117" s="30">
        <v>45053</v>
      </c>
      <c r="F117" s="36" t="s">
        <v>46</v>
      </c>
      <c r="G117" s="36" t="s">
        <v>49</v>
      </c>
      <c r="H117" s="28">
        <v>2</v>
      </c>
    </row>
    <row r="118" spans="1:8" ht="13.2">
      <c r="A118" s="35" t="s">
        <v>149</v>
      </c>
      <c r="B118" s="19">
        <f>IFERROR(VLOOKUP(A118, Tasks!A$89:E998,2, FALSE), "")</f>
        <v>4</v>
      </c>
      <c r="C118" s="19" t="str">
        <f>IFERROR(VLOOKUP(A118, Tasks!A$89:E998,3, FALSE), "")</f>
        <v>C9</v>
      </c>
      <c r="D118" s="20" t="str">
        <f>IFERROR(VLOOKUP(A118, Tasks!A$89:E998,5, FALSE), "")</f>
        <v xml:space="preserve">FXML: Add menu for GLOBAL stats (between Home and Settings) </v>
      </c>
      <c r="E118" s="29">
        <v>45054</v>
      </c>
      <c r="F118" s="15" t="s">
        <v>63</v>
      </c>
      <c r="G118" s="15" t="s">
        <v>56</v>
      </c>
      <c r="H118" s="23">
        <v>6</v>
      </c>
    </row>
    <row r="119" spans="1:8" ht="13.2">
      <c r="A119" s="34" t="s">
        <v>151</v>
      </c>
      <c r="B119" s="24">
        <f>IFERROR(VLOOKUP(A119, Tasks!A$89:E998,2, FALSE), "")</f>
        <v>4</v>
      </c>
      <c r="C119" s="24" t="str">
        <f>IFERROR(VLOOKUP(A119, Tasks!A$89:E998,3, FALSE), "")</f>
        <v>C9</v>
      </c>
      <c r="D119" s="25" t="str">
        <f>IFERROR(VLOOKUP(A119, Tasks!A$89:E998,5, FALSE), "")</f>
        <v>Service: Create a Service for the Statistics API</v>
      </c>
      <c r="E119" s="30">
        <v>45054</v>
      </c>
      <c r="F119" s="36" t="s">
        <v>70</v>
      </c>
      <c r="G119" s="36" t="s">
        <v>63</v>
      </c>
      <c r="H119" s="28">
        <v>1.5</v>
      </c>
    </row>
    <row r="120" spans="1:8" ht="13.2">
      <c r="A120" s="35" t="s">
        <v>147</v>
      </c>
      <c r="B120" s="19">
        <f>IFERROR(VLOOKUP(A120, Tasks!A$89:E998,2, FALSE), "")</f>
        <v>4</v>
      </c>
      <c r="C120" s="19" t="str">
        <f>IFERROR(VLOOKUP(A120, Tasks!A$89:E998,3, FALSE), "")</f>
        <v>C11</v>
      </c>
      <c r="D120" s="20" t="str">
        <f>IFERROR(VLOOKUP(A120, Tasks!A$89:E998,5, FALSE), "")</f>
        <v>FXML: Add View for store + ViewController</v>
      </c>
      <c r="E120" s="29">
        <v>45054</v>
      </c>
      <c r="F120" s="15" t="s">
        <v>46</v>
      </c>
      <c r="G120" s="15"/>
      <c r="H120" s="23">
        <v>1.5</v>
      </c>
    </row>
    <row r="121" spans="1:8" ht="13.2">
      <c r="A121" s="34" t="s">
        <v>151</v>
      </c>
      <c r="B121" s="24">
        <f>IFERROR(VLOOKUP(A121, Tasks!A$89:E998,2, FALSE), "")</f>
        <v>4</v>
      </c>
      <c r="C121" s="24" t="str">
        <f>IFERROR(VLOOKUP(A121, Tasks!A$89:E998,3, FALSE), "")</f>
        <v>C9</v>
      </c>
      <c r="D121" s="25" t="str">
        <f>IFERROR(VLOOKUP(A121, Tasks!A$89:E998,5, FALSE), "")</f>
        <v>Service: Create a Service for the Statistics API</v>
      </c>
      <c r="E121" s="30">
        <v>45055</v>
      </c>
      <c r="F121" s="36" t="s">
        <v>70</v>
      </c>
      <c r="G121" s="36" t="s">
        <v>63</v>
      </c>
      <c r="H121" s="28">
        <v>3.5</v>
      </c>
    </row>
    <row r="122" spans="1:8" ht="13.2">
      <c r="A122" s="35" t="s">
        <v>150</v>
      </c>
      <c r="B122" s="19">
        <f>IFERROR(VLOOKUP(A122, Tasks!A$89:E998,2, FALSE), "")</f>
        <v>4</v>
      </c>
      <c r="C122" s="19" t="str">
        <f>IFERROR(VLOOKUP(A122, Tasks!A$89:E998,3, FALSE), "")</f>
        <v>C8</v>
      </c>
      <c r="D122" s="20" t="str">
        <f>IFERROR(VLOOKUP(A122, Tasks!A$89:E998,5, FALSE), "")</f>
        <v>FXML: Handle different card type in all learning mode</v>
      </c>
      <c r="E122" s="29">
        <v>45054</v>
      </c>
      <c r="F122" s="15" t="s">
        <v>53</v>
      </c>
      <c r="G122" s="15" t="s">
        <v>59</v>
      </c>
      <c r="H122" s="23">
        <v>2</v>
      </c>
    </row>
    <row r="123" spans="1:8" ht="13.2">
      <c r="A123" s="34" t="s">
        <v>152</v>
      </c>
      <c r="B123" s="24">
        <f>IFERROR(VLOOKUP(A123, Tasks!A$89:E998,2, FALSE), "")</f>
        <v>4</v>
      </c>
      <c r="C123" s="24" t="str">
        <f>IFERROR(VLOOKUP(A123, Tasks!A$89:E998,3, FALSE), "")</f>
        <v>C9</v>
      </c>
      <c r="D123" s="25" t="str">
        <f>IFERROR(VLOOKUP(A123, Tasks!A$89:E998,5, FALSE), "")</f>
        <v>Database: Model for statistics + Django API</v>
      </c>
      <c r="E123" s="30">
        <v>45055</v>
      </c>
      <c r="F123" s="36" t="s">
        <v>66</v>
      </c>
      <c r="G123" s="36" t="s">
        <v>45</v>
      </c>
      <c r="H123" s="28">
        <v>1</v>
      </c>
    </row>
    <row r="124" spans="1:8" ht="13.2">
      <c r="A124" s="35" t="s">
        <v>148</v>
      </c>
      <c r="B124" s="19">
        <f>IFERROR(VLOOKUP(A124, Tasks!A$89:E998,2, FALSE), "")</f>
        <v>4</v>
      </c>
      <c r="C124" s="19" t="str">
        <f>IFERROR(VLOOKUP(A124, Tasks!A$89:E998,3, FALSE), "")</f>
        <v>C11</v>
      </c>
      <c r="D124" s="20" t="str">
        <f>IFERROR(VLOOKUP(A124, Tasks!A$89:E998,5, FALSE), "")</f>
        <v>Database: Review Database model for the store + API</v>
      </c>
      <c r="E124" s="29">
        <v>45055</v>
      </c>
      <c r="F124" s="15" t="s">
        <v>49</v>
      </c>
      <c r="G124" s="15" t="s">
        <v>46</v>
      </c>
      <c r="H124" s="23">
        <v>1.5</v>
      </c>
    </row>
    <row r="125" spans="1:8" ht="13.2">
      <c r="A125" s="34" t="s">
        <v>153</v>
      </c>
      <c r="B125" s="24">
        <f>IFERROR(VLOOKUP(A125, Tasks!A$89:E998,2, FALSE), "")</f>
        <v>4</v>
      </c>
      <c r="C125" s="24" t="str">
        <f>IFERROR(VLOOKUP(A125, Tasks!A$89:E998,3, FALSE), "")</f>
        <v>C8</v>
      </c>
      <c r="D125" s="25" t="str">
        <f>IFERROR(VLOOKUP(A125, Tasks!A$89:E998,5, FALSE), "")</f>
        <v>FXML: Question Type and Answer Type should be in the card dialog</v>
      </c>
      <c r="E125" s="30">
        <v>45056</v>
      </c>
      <c r="F125" s="36" t="s">
        <v>49</v>
      </c>
      <c r="G125" s="36" t="s">
        <v>53</v>
      </c>
      <c r="H125" s="28">
        <v>2</v>
      </c>
    </row>
    <row r="126" spans="1:8" ht="13.2">
      <c r="A126" s="35" t="s">
        <v>154</v>
      </c>
      <c r="B126" s="19">
        <f>IFERROR(VLOOKUP(A126, Tasks!A$89:E998,2, FALSE), "")</f>
        <v>4</v>
      </c>
      <c r="C126" s="19" t="str">
        <f>IFERROR(VLOOKUP(A126, Tasks!A$89:E998,3, FALSE), "")</f>
        <v>C8</v>
      </c>
      <c r="D126" s="20" t="str">
        <f>IFERROR(VLOOKUP(A126, Tasks!A$89:E998,5, FALSE), "")</f>
        <v>Model: Handle different card type in Cards</v>
      </c>
      <c r="E126" s="29">
        <v>45056</v>
      </c>
      <c r="F126" s="15" t="s">
        <v>52</v>
      </c>
      <c r="G126" s="15" t="s">
        <v>53</v>
      </c>
      <c r="H126" s="23">
        <v>1.5</v>
      </c>
    </row>
    <row r="127" spans="1:8" ht="13.2">
      <c r="A127" s="34" t="s">
        <v>155</v>
      </c>
      <c r="B127" s="24">
        <f>IFERROR(VLOOKUP(A127, Tasks!A$89:E998,2, FALSE), "")</f>
        <v>4</v>
      </c>
      <c r="C127" s="24" t="str">
        <f>IFERROR(VLOOKUP(A127, Tasks!A$89:E998,3, FALSE), "")</f>
        <v>C11</v>
      </c>
      <c r="D127" s="25" t="str">
        <f>IFERROR(VLOOKUP(A127, Tasks!A$89:E998,5, FALSE), "")</f>
        <v>FXML: add carousel for most popular decks</v>
      </c>
      <c r="E127" s="30">
        <v>45056</v>
      </c>
      <c r="F127" s="36" t="s">
        <v>46</v>
      </c>
      <c r="G127" s="36" t="s">
        <v>45</v>
      </c>
      <c r="H127" s="28">
        <v>3.5</v>
      </c>
    </row>
    <row r="128" spans="1:8" ht="13.2">
      <c r="A128" s="35" t="s">
        <v>153</v>
      </c>
      <c r="B128" s="19">
        <f>IFERROR(VLOOKUP(A128, Tasks!A$89:E998,2, FALSE), "")</f>
        <v>4</v>
      </c>
      <c r="C128" s="19" t="str">
        <f>IFERROR(VLOOKUP(A128, Tasks!A$89:E998,3, FALSE), "")</f>
        <v>C8</v>
      </c>
      <c r="D128" s="20" t="str">
        <f>IFERROR(VLOOKUP(A128, Tasks!A$89:E998,5, FALSE), "")</f>
        <v>FXML: Question Type and Answer Type should be in the card dialog</v>
      </c>
      <c r="E128" s="29">
        <v>45056</v>
      </c>
      <c r="F128" s="15" t="s">
        <v>49</v>
      </c>
      <c r="G128" s="15" t="s">
        <v>53</v>
      </c>
      <c r="H128" s="23">
        <v>1.5</v>
      </c>
    </row>
    <row r="129" spans="1:8" ht="13.2">
      <c r="A129" s="34" t="s">
        <v>156</v>
      </c>
      <c r="B129" s="24">
        <f>IFERROR(VLOOKUP(A129, Tasks!A$89:E998,2, FALSE), "")</f>
        <v>4</v>
      </c>
      <c r="C129" s="24" t="str">
        <f>IFERROR(VLOOKUP(A129, Tasks!A$89:E998,3, FALSE), "")</f>
        <v>C14</v>
      </c>
      <c r="D129" s="25" t="str">
        <f>IFERROR(VLOOKUP(A129, Tasks!A$89:E998,5, FALSE), "")</f>
        <v>FXML: Add logic to dictate answer OR question in Controller</v>
      </c>
      <c r="E129" s="30">
        <v>45056</v>
      </c>
      <c r="F129" s="36" t="s">
        <v>52</v>
      </c>
      <c r="G129" s="36" t="s">
        <v>53</v>
      </c>
      <c r="H129" s="28">
        <v>2</v>
      </c>
    </row>
    <row r="130" spans="1:8" ht="13.2">
      <c r="A130" s="35" t="s">
        <v>155</v>
      </c>
      <c r="B130" s="19">
        <f>IFERROR(VLOOKUP(A130, Tasks!A$89:E998,2, FALSE), "")</f>
        <v>4</v>
      </c>
      <c r="C130" s="19" t="str">
        <f>IFERROR(VLOOKUP(A130, Tasks!A$89:E998,3, FALSE), "")</f>
        <v>C11</v>
      </c>
      <c r="D130" s="20" t="str">
        <f>IFERROR(VLOOKUP(A130, Tasks!A$89:E998,5, FALSE), "")</f>
        <v>FXML: add carousel for most popular decks</v>
      </c>
      <c r="E130" s="29">
        <v>45056</v>
      </c>
      <c r="F130" s="15" t="s">
        <v>45</v>
      </c>
      <c r="G130" s="15" t="s">
        <v>46</v>
      </c>
      <c r="H130" s="23">
        <v>1.5</v>
      </c>
    </row>
    <row r="131" spans="1:8" ht="26.4">
      <c r="A131" s="34" t="s">
        <v>157</v>
      </c>
      <c r="B131" s="24">
        <f>IFERROR(VLOOKUP(A131, Tasks!A$89:E998,2, FALSE), "")</f>
        <v>4</v>
      </c>
      <c r="C131" s="24" t="str">
        <f>IFERROR(VLOOKUP(A131, Tasks!A$89:E998,3, FALSE), "")</f>
        <v>D8</v>
      </c>
      <c r="D131" s="25" t="str">
        <f>IFERROR(VLOOKUP(A131, Tasks!A$89:E998,5, FALSE), "")</f>
        <v>FXML: Add help button in modes and edit card dialog to show how to format questions</v>
      </c>
      <c r="E131" s="30">
        <v>45056</v>
      </c>
      <c r="F131" s="36" t="s">
        <v>52</v>
      </c>
      <c r="G131" s="36"/>
      <c r="H131" s="28">
        <v>0.5</v>
      </c>
    </row>
    <row r="132" spans="1:8" ht="13.2">
      <c r="A132" s="35" t="s">
        <v>158</v>
      </c>
      <c r="B132" s="19">
        <f>IFERROR(VLOOKUP(A132, Tasks!A$89:E998,2, FALSE), "")</f>
        <v>4</v>
      </c>
      <c r="C132" s="19" t="str">
        <f>IFERROR(VLOOKUP(A132, Tasks!A$89:E998,3, FALSE), "")</f>
        <v>C11</v>
      </c>
      <c r="D132" s="20" t="str">
        <f>IFERROR(VLOOKUP(A132, Tasks!A$89:E998,5, FALSE), "")</f>
        <v>FXML: show all decks on the store</v>
      </c>
      <c r="E132" s="29">
        <v>45056</v>
      </c>
      <c r="F132" s="15" t="s">
        <v>46</v>
      </c>
      <c r="G132" s="15" t="s">
        <v>45</v>
      </c>
      <c r="H132" s="23">
        <v>1.5</v>
      </c>
    </row>
    <row r="133" spans="1:8" ht="13.2">
      <c r="A133" s="34" t="s">
        <v>148</v>
      </c>
      <c r="B133" s="24">
        <f>IFERROR(VLOOKUP(A133, Tasks!A$89:E998,2, FALSE), "")</f>
        <v>4</v>
      </c>
      <c r="C133" s="24" t="str">
        <f>IFERROR(VLOOKUP(A133, Tasks!A$89:E998,3, FALSE), "")</f>
        <v>C11</v>
      </c>
      <c r="D133" s="25" t="str">
        <f>IFERROR(VLOOKUP(A133, Tasks!A$89:E998,5, FALSE), "")</f>
        <v>Database: Review Database model for the store + API</v>
      </c>
      <c r="E133" s="30">
        <v>45056</v>
      </c>
      <c r="F133" s="36" t="s">
        <v>49</v>
      </c>
      <c r="G133" s="36" t="s">
        <v>46</v>
      </c>
      <c r="H133" s="28">
        <v>1</v>
      </c>
    </row>
    <row r="134" spans="1:8" ht="26.4">
      <c r="A134" s="35" t="s">
        <v>157</v>
      </c>
      <c r="B134" s="19">
        <f>IFERROR(VLOOKUP(A134, Tasks!A$89:E998,2, FALSE), "")</f>
        <v>4</v>
      </c>
      <c r="C134" s="19" t="str">
        <f>IFERROR(VLOOKUP(A134, Tasks!A$89:E998,3, FALSE), "")</f>
        <v>D8</v>
      </c>
      <c r="D134" s="20" t="str">
        <f>IFERROR(VLOOKUP(A134, Tasks!A$89:E998,5, FALSE), "")</f>
        <v>FXML: Add help button in modes and edit card dialog to show how to format questions</v>
      </c>
      <c r="E134" s="29">
        <v>45056</v>
      </c>
      <c r="F134" s="15" t="s">
        <v>52</v>
      </c>
      <c r="G134" s="15"/>
      <c r="H134" s="23">
        <v>1</v>
      </c>
    </row>
    <row r="135" spans="1:8" ht="13.2">
      <c r="A135" s="34" t="s">
        <v>159</v>
      </c>
      <c r="B135" s="24">
        <f>IFERROR(VLOOKUP(A135, Tasks!A$89:E998,2, FALSE), "")</f>
        <v>4</v>
      </c>
      <c r="C135" s="24" t="str">
        <f>IFERROR(VLOOKUP(A135, Tasks!A$89:E998,3, FALSE), "")</f>
        <v>D8</v>
      </c>
      <c r="D135" s="25" t="str">
        <f>IFERROR(VLOOKUP(A135, Tasks!A$89:E998,5, FALSE), "")</f>
        <v>Cache: Cache decks and make it not make it a request everytime</v>
      </c>
      <c r="E135" s="30">
        <v>45056</v>
      </c>
      <c r="F135" s="36" t="s">
        <v>52</v>
      </c>
      <c r="G135" s="36" t="s">
        <v>70</v>
      </c>
      <c r="H135" s="28">
        <v>2.5</v>
      </c>
    </row>
    <row r="136" spans="1:8" ht="13.2">
      <c r="A136" s="35" t="s">
        <v>150</v>
      </c>
      <c r="B136" s="19">
        <f>IFERROR(VLOOKUP(A136, Tasks!A$89:E998,2, FALSE), "")</f>
        <v>4</v>
      </c>
      <c r="C136" s="19" t="str">
        <f>IFERROR(VLOOKUP(A136, Tasks!A$89:E998,3, FALSE), "")</f>
        <v>C8</v>
      </c>
      <c r="D136" s="20" t="str">
        <f>IFERROR(VLOOKUP(A136, Tasks!A$89:E998,5, FALSE), "")</f>
        <v>FXML: Handle different card type in all learning mode</v>
      </c>
      <c r="E136" s="29">
        <v>45056</v>
      </c>
      <c r="F136" s="15" t="s">
        <v>53</v>
      </c>
      <c r="G136" s="15" t="s">
        <v>59</v>
      </c>
      <c r="H136" s="23">
        <v>1</v>
      </c>
    </row>
    <row r="137" spans="1:8" ht="13.2">
      <c r="A137" s="34" t="s">
        <v>150</v>
      </c>
      <c r="B137" s="24">
        <f>IFERROR(VLOOKUP(A137, Tasks!A$89:E998,2, FALSE), "")</f>
        <v>4</v>
      </c>
      <c r="C137" s="24" t="str">
        <f>IFERROR(VLOOKUP(A137, Tasks!A$89:E998,3, FALSE), "")</f>
        <v>C8</v>
      </c>
      <c r="D137" s="25" t="str">
        <f>IFERROR(VLOOKUP(A137, Tasks!A$89:E998,5, FALSE), "")</f>
        <v>FXML: Handle different card type in all learning mode</v>
      </c>
      <c r="E137" s="30">
        <v>45056</v>
      </c>
      <c r="F137" s="36" t="s">
        <v>53</v>
      </c>
      <c r="G137" s="36" t="s">
        <v>59</v>
      </c>
      <c r="H137" s="28">
        <v>2.5</v>
      </c>
    </row>
    <row r="138" spans="1:8" ht="13.2">
      <c r="A138" s="35" t="s">
        <v>152</v>
      </c>
      <c r="B138" s="19">
        <f>IFERROR(VLOOKUP(A138, Tasks!A$89:E998,2, FALSE), "")</f>
        <v>4</v>
      </c>
      <c r="C138" s="19" t="str">
        <f>IFERROR(VLOOKUP(A138, Tasks!A$89:E998,3, FALSE), "")</f>
        <v>C9</v>
      </c>
      <c r="D138" s="20" t="str">
        <f>IFERROR(VLOOKUP(A138, Tasks!A$89:E998,5, FALSE), "")</f>
        <v>Database: Model for statistics + Django API</v>
      </c>
      <c r="E138" s="29">
        <v>45056</v>
      </c>
      <c r="F138" s="15" t="s">
        <v>66</v>
      </c>
      <c r="G138" s="15" t="s">
        <v>45</v>
      </c>
      <c r="H138" s="23">
        <v>6</v>
      </c>
    </row>
    <row r="139" spans="1:8" ht="13.2">
      <c r="A139" s="34" t="s">
        <v>150</v>
      </c>
      <c r="B139" s="24">
        <f>IFERROR(VLOOKUP(A139, Tasks!A$89:E998,2, FALSE), "")</f>
        <v>4</v>
      </c>
      <c r="C139" s="24" t="str">
        <f>IFERROR(VLOOKUP(A139, Tasks!A$89:E998,3, FALSE), "")</f>
        <v>C8</v>
      </c>
      <c r="D139" s="25" t="str">
        <f>IFERROR(VLOOKUP(A139, Tasks!A$89:E998,5, FALSE), "")</f>
        <v>FXML: Handle different card type in all learning mode</v>
      </c>
      <c r="E139" s="30">
        <v>45057</v>
      </c>
      <c r="F139" s="36" t="s">
        <v>53</v>
      </c>
      <c r="G139" s="36" t="s">
        <v>59</v>
      </c>
      <c r="H139" s="28">
        <v>2</v>
      </c>
    </row>
    <row r="140" spans="1:8" ht="13.2">
      <c r="A140" s="35" t="s">
        <v>151</v>
      </c>
      <c r="B140" s="19">
        <f>IFERROR(VLOOKUP(A140, Tasks!A$89:E998,2, FALSE), "")</f>
        <v>4</v>
      </c>
      <c r="C140" s="19" t="str">
        <f>IFERROR(VLOOKUP(A140, Tasks!A$89:E998,3, FALSE), "")</f>
        <v>C9</v>
      </c>
      <c r="D140" s="20" t="str">
        <f>IFERROR(VLOOKUP(A140, Tasks!A$89:E998,5, FALSE), "")</f>
        <v>Service: Create a Service for the Statistics API</v>
      </c>
      <c r="E140" s="29">
        <v>45056</v>
      </c>
      <c r="F140" s="15" t="s">
        <v>70</v>
      </c>
      <c r="G140" s="15" t="s">
        <v>63</v>
      </c>
      <c r="H140" s="23">
        <v>2</v>
      </c>
    </row>
    <row r="141" spans="1:8" ht="13.2">
      <c r="A141" s="34" t="s">
        <v>160</v>
      </c>
      <c r="B141" s="24">
        <f>IFERROR(VLOOKUP(A141, Tasks!A$89:E998,2, FALSE), "")</f>
        <v>4</v>
      </c>
      <c r="C141" s="24" t="str">
        <f>IFERROR(VLOOKUP(A141, Tasks!A$89:E998,3, FALSE), "")</f>
        <v>C11</v>
      </c>
      <c r="D141" s="25" t="str">
        <f>IFERROR(VLOOKUP(A141, Tasks!A$89:E998,5, FALSE), "")</f>
        <v>StoreDeckService: api call for popular and all decks</v>
      </c>
      <c r="E141" s="30">
        <v>45057</v>
      </c>
      <c r="F141" s="36" t="s">
        <v>45</v>
      </c>
      <c r="G141" s="36" t="s">
        <v>49</v>
      </c>
      <c r="H141" s="28">
        <v>1.5</v>
      </c>
    </row>
    <row r="142" spans="1:8" ht="13.2">
      <c r="A142" s="35" t="s">
        <v>161</v>
      </c>
      <c r="B142" s="19">
        <f>IFERROR(VLOOKUP(A142, Tasks!A$89:E998,2, FALSE), "")</f>
        <v>4</v>
      </c>
      <c r="C142" s="19" t="str">
        <f>IFERROR(VLOOKUP(A142, Tasks!A$89:E998,3, FALSE), "")</f>
        <v>C11</v>
      </c>
      <c r="D142" s="20" t="str">
        <f>IFERROR(VLOOKUP(A142, Tasks!A$89:E998,5, FALSE), "")</f>
        <v>StoreDeckService : share deck api call</v>
      </c>
      <c r="E142" s="29">
        <v>45057</v>
      </c>
      <c r="F142" s="15" t="s">
        <v>49</v>
      </c>
      <c r="G142" s="15" t="s">
        <v>45</v>
      </c>
      <c r="H142" s="23">
        <v>0.5</v>
      </c>
    </row>
    <row r="143" spans="1:8" ht="13.2">
      <c r="A143" s="34" t="s">
        <v>162</v>
      </c>
      <c r="B143" s="24">
        <f>IFERROR(VLOOKUP(A143, Tasks!A$89:E998,2, FALSE), "")</f>
        <v>4</v>
      </c>
      <c r="C143" s="24" t="str">
        <f>IFERROR(VLOOKUP(A143, Tasks!A$89:E998,3, FALSE), "")</f>
        <v>C11</v>
      </c>
      <c r="D143" s="25" t="str">
        <f>IFERROR(VLOOKUP(A143, Tasks!A$89:E998,5, FALSE), "")</f>
        <v>StoreDeckService: download storedeck api call</v>
      </c>
      <c r="E143" s="30">
        <v>45057</v>
      </c>
      <c r="F143" s="36" t="s">
        <v>45</v>
      </c>
      <c r="G143" s="36" t="s">
        <v>49</v>
      </c>
      <c r="H143" s="28">
        <v>0.5</v>
      </c>
    </row>
    <row r="144" spans="1:8" ht="13.2">
      <c r="A144" s="35" t="s">
        <v>150</v>
      </c>
      <c r="B144" s="19">
        <f>IFERROR(VLOOKUP(A144, Tasks!A$89:E998,2, FALSE), "")</f>
        <v>4</v>
      </c>
      <c r="C144" s="19" t="str">
        <f>IFERROR(VLOOKUP(A144, Tasks!A$89:E998,3, FALSE), "")</f>
        <v>C8</v>
      </c>
      <c r="D144" s="20" t="str">
        <f>IFERROR(VLOOKUP(A144, Tasks!A$89:E998,5, FALSE), "")</f>
        <v>FXML: Handle different card type in all learning mode</v>
      </c>
      <c r="E144" s="29">
        <v>45057</v>
      </c>
      <c r="F144" s="15" t="s">
        <v>53</v>
      </c>
      <c r="G144" s="15"/>
      <c r="H144" s="23">
        <v>1.5</v>
      </c>
    </row>
    <row r="145" spans="1:8" ht="13.2">
      <c r="A145" s="34" t="s">
        <v>163</v>
      </c>
      <c r="B145" s="24">
        <f>IFERROR(VLOOKUP(A145, Tasks!A$89:E998,2, FALSE), "")</f>
        <v>4</v>
      </c>
      <c r="C145" s="24" t="str">
        <f>IFERROR(VLOOKUP(A145, Tasks!A$89:E998,3, FALSE), "")</f>
        <v>D8</v>
      </c>
      <c r="D145" s="25" t="str">
        <f>IFERROR(VLOOKUP(A145, Tasks!A$89:E998,5, FALSE), "")</f>
        <v>Refactor: Use SonarLint to refactor code</v>
      </c>
      <c r="E145" s="30">
        <v>45057</v>
      </c>
      <c r="F145" s="36" t="s">
        <v>70</v>
      </c>
      <c r="G145" s="36" t="s">
        <v>52</v>
      </c>
      <c r="H145" s="28">
        <v>1</v>
      </c>
    </row>
    <row r="146" spans="1:8" ht="13.2">
      <c r="A146" s="35" t="s">
        <v>164</v>
      </c>
      <c r="B146" s="19">
        <f>IFERROR(VLOOKUP(A146, Tasks!A$89:E998,2, FALSE), "")</f>
        <v>4</v>
      </c>
      <c r="C146" s="19" t="str">
        <f>IFERROR(VLOOKUP(A146, Tasks!A$89:E998,3, FALSE), "")</f>
        <v>C14</v>
      </c>
      <c r="D146" s="20" t="str">
        <f>IFERROR(VLOOKUP(A146, Tasks!A$89:E998,5, FALSE), "")</f>
        <v>FXML: Add button with Speaker Icon in learning modes</v>
      </c>
      <c r="E146" s="29">
        <v>45057</v>
      </c>
      <c r="F146" s="15" t="s">
        <v>53</v>
      </c>
      <c r="G146" s="15" t="s">
        <v>52</v>
      </c>
      <c r="H146" s="23">
        <v>1</v>
      </c>
    </row>
    <row r="147" spans="1:8" ht="13.2">
      <c r="A147" s="34" t="s">
        <v>149</v>
      </c>
      <c r="B147" s="24">
        <f>IFERROR(VLOOKUP(A147, Tasks!A$89:E998,2, FALSE), "")</f>
        <v>4</v>
      </c>
      <c r="C147" s="24" t="str">
        <f>IFERROR(VLOOKUP(A147, Tasks!A$89:E998,3, FALSE), "")</f>
        <v>C9</v>
      </c>
      <c r="D147" s="25" t="str">
        <f>IFERROR(VLOOKUP(A147, Tasks!A$89:E998,5, FALSE), "")</f>
        <v xml:space="preserve">FXML: Add menu for GLOBAL stats (between Home and Settings) </v>
      </c>
      <c r="E147" s="30">
        <v>45058</v>
      </c>
      <c r="F147" s="36" t="s">
        <v>56</v>
      </c>
      <c r="G147" s="36" t="s">
        <v>70</v>
      </c>
      <c r="H147" s="28">
        <v>6</v>
      </c>
    </row>
    <row r="148" spans="1:8" ht="13.2">
      <c r="A148" s="35" t="s">
        <v>165</v>
      </c>
      <c r="B148" s="19">
        <f>IFERROR(VLOOKUP(A148, Tasks!A$89:E998,2, FALSE), "")</f>
        <v>4</v>
      </c>
      <c r="C148" s="19" t="str">
        <f>IFERROR(VLOOKUP(A148, Tasks!A$89:E998,3, FALSE), "")</f>
        <v>C11</v>
      </c>
      <c r="D148" s="20" t="str">
        <f>IFERROR(VLOOKUP(A148, Tasks!A$89:E998,5, FALSE), "")</f>
        <v>StoreDeckService: search for deck in catalog</v>
      </c>
      <c r="E148" s="29">
        <v>45058</v>
      </c>
      <c r="F148" s="15" t="s">
        <v>45</v>
      </c>
      <c r="G148" s="15" t="s">
        <v>46</v>
      </c>
      <c r="H148" s="23">
        <v>1</v>
      </c>
    </row>
    <row r="149" spans="1:8" ht="26.4">
      <c r="A149" s="34" t="s">
        <v>166</v>
      </c>
      <c r="B149" s="24">
        <f>IFERROR(VLOOKUP(A149, Tasks!A$89:E998,2, FALSE), "")</f>
        <v>4</v>
      </c>
      <c r="C149" s="24" t="str">
        <f>IFERROR(VLOOKUP(A149, Tasks!A$89:E998,3, FALSE), "")</f>
        <v>D8</v>
      </c>
      <c r="D149" s="25" t="str">
        <f>IFERROR(VLOOKUP(A149, Tasks!A$89:E998,5, FALSE), "")</f>
        <v>Refactor: Create custom component for Deck in ProfileDeckViewController</v>
      </c>
      <c r="E149" s="30">
        <v>45058</v>
      </c>
      <c r="F149" s="36" t="s">
        <v>52</v>
      </c>
      <c r="G149" s="36" t="s">
        <v>49</v>
      </c>
      <c r="H149" s="28">
        <v>0.5</v>
      </c>
    </row>
    <row r="150" spans="1:8" ht="26.4">
      <c r="A150" s="35" t="s">
        <v>167</v>
      </c>
      <c r="B150" s="19">
        <f>IFERROR(VLOOKUP(A150, Tasks!A$89:E998,2, FALSE), "")</f>
        <v>4</v>
      </c>
      <c r="C150" s="19" t="str">
        <f>IFERROR(VLOOKUP(A150, Tasks!A$89:E998,3, FALSE), "")</f>
        <v>D8</v>
      </c>
      <c r="D150" s="20" t="str">
        <f>IFERROR(VLOOKUP(A150, Tasks!A$89:E998,5, FALSE), "")</f>
        <v>Refactor: Create custom component for Deck in StoreDeckViewController - Populars</v>
      </c>
      <c r="E150" s="29">
        <v>45058</v>
      </c>
      <c r="F150" s="15" t="s">
        <v>45</v>
      </c>
      <c r="G150" s="15"/>
      <c r="H150" s="23">
        <v>2.5</v>
      </c>
    </row>
    <row r="151" spans="1:8" ht="26.4">
      <c r="A151" s="34" t="s">
        <v>168</v>
      </c>
      <c r="B151" s="24">
        <f>IFERROR(VLOOKUP(A151, Tasks!A$89:E998,2, FALSE), "")</f>
        <v>4</v>
      </c>
      <c r="C151" s="24" t="str">
        <f>IFERROR(VLOOKUP(A151, Tasks!A$89:E998,3, FALSE), "")</f>
        <v>D8</v>
      </c>
      <c r="D151" s="25" t="str">
        <f>IFERROR(VLOOKUP(A151, Tasks!A$89:E998,5, FALSE), "")</f>
        <v>Refactor: Create custom component for Card in EditDeckViewController</v>
      </c>
      <c r="E151" s="30">
        <v>45058</v>
      </c>
      <c r="F151" s="36" t="s">
        <v>52</v>
      </c>
      <c r="G151" s="36" t="s">
        <v>70</v>
      </c>
      <c r="H151" s="28">
        <v>2.5</v>
      </c>
    </row>
    <row r="152" spans="1:8" ht="13.2">
      <c r="A152" s="35" t="s">
        <v>169</v>
      </c>
      <c r="B152" s="19" t="str">
        <f>IFERROR(VLOOKUP(A152, Tasks!A$89:E998,2, FALSE), "")</f>
        <v/>
      </c>
      <c r="C152" s="19" t="str">
        <f>IFERROR(VLOOKUP(A152, Tasks!A$89:E998,3, FALSE), "")</f>
        <v/>
      </c>
      <c r="D152" s="20" t="str">
        <f>IFERROR(VLOOKUP(A152, Tasks!A$89:E998,5, FALSE), "")</f>
        <v/>
      </c>
      <c r="E152" s="29">
        <v>45058</v>
      </c>
      <c r="F152" s="15" t="s">
        <v>49</v>
      </c>
      <c r="G152" s="15"/>
      <c r="H152" s="23">
        <v>1</v>
      </c>
    </row>
    <row r="153" spans="1:8" ht="26.4">
      <c r="A153" s="34" t="s">
        <v>170</v>
      </c>
      <c r="B153" s="24">
        <f>IFERROR(VLOOKUP(A153, Tasks!A$89:E998,2, FALSE), "")</f>
        <v>4</v>
      </c>
      <c r="C153" s="24" t="str">
        <f>IFERROR(VLOOKUP(A153, Tasks!A$89:E998,3, FALSE), "")</f>
        <v>D8</v>
      </c>
      <c r="D153" s="25" t="str">
        <f>IFERROR(VLOOKUP(A153, Tasks!A$89:E998,5, FALSE), "")</f>
        <v>Refactor: Fix issues with Docker + add persistent volume for Postgres Database</v>
      </c>
      <c r="E153" s="30">
        <v>45058</v>
      </c>
      <c r="F153" s="36" t="s">
        <v>49</v>
      </c>
      <c r="G153" s="36"/>
      <c r="H153" s="28">
        <v>0.5</v>
      </c>
    </row>
    <row r="154" spans="1:8" ht="13.2">
      <c r="A154" s="35" t="s">
        <v>171</v>
      </c>
      <c r="B154" s="19">
        <f>IFERROR(VLOOKUP(A154, Tasks!A$89:E998,2, FALSE), "")</f>
        <v>4</v>
      </c>
      <c r="C154" s="19" t="str">
        <f>IFERROR(VLOOKUP(A154, Tasks!A$89:E998,3, FALSE), "")</f>
        <v>D8</v>
      </c>
      <c r="D154" s="20" t="str">
        <f>IFERROR(VLOOKUP(A154, Tasks!A$89:E998,5, FALSE), "")</f>
        <v>Refactor: Add method in AbstractViewController to open FileBrowser</v>
      </c>
      <c r="E154" s="29">
        <v>45058</v>
      </c>
      <c r="F154" s="15" t="s">
        <v>49</v>
      </c>
      <c r="G154" s="15" t="s">
        <v>66</v>
      </c>
      <c r="H154" s="23">
        <v>0.5</v>
      </c>
    </row>
    <row r="155" spans="1:8" ht="13.2">
      <c r="A155" s="34" t="s">
        <v>172</v>
      </c>
      <c r="B155" s="24">
        <f>IFERROR(VLOOKUP(A155, Tasks!A$89:E998,2, FALSE), "")</f>
        <v>4</v>
      </c>
      <c r="C155" s="24" t="str">
        <f>IFERROR(VLOOKUP(A155, Tasks!A$89:E998,3, FALSE), "")</f>
        <v>D8</v>
      </c>
      <c r="D155" s="25" t="str">
        <f>IFERROR(VLOOKUP(A155, Tasks!A$89:E998,5, FALSE), "")</f>
        <v>DP: Use the Visitor Design Pattern to handle different modes</v>
      </c>
      <c r="E155" s="30">
        <v>45057</v>
      </c>
      <c r="F155" s="36" t="s">
        <v>59</v>
      </c>
      <c r="G155" s="36" t="s">
        <v>66</v>
      </c>
      <c r="H155" s="28">
        <v>3</v>
      </c>
    </row>
    <row r="156" spans="1:8" ht="13.2">
      <c r="A156" s="35" t="s">
        <v>173</v>
      </c>
      <c r="B156" s="19">
        <f>IFERROR(VLOOKUP(A156, Tasks!A$89:E998,2, FALSE), "")</f>
        <v>4</v>
      </c>
      <c r="C156" s="19" t="str">
        <f>IFERROR(VLOOKUP(A156, Tasks!A$89:E998,3, FALSE), "")</f>
        <v>D8</v>
      </c>
      <c r="D156" s="20" t="str">
        <f>IFERROR(VLOOKUP(A156, Tasks!A$89:E998,5, FALSE), "")</f>
        <v>Refactor: Add method for TextInputDialog</v>
      </c>
      <c r="E156" s="29">
        <v>45059</v>
      </c>
      <c r="F156" s="15" t="s">
        <v>49</v>
      </c>
      <c r="G156" s="15"/>
      <c r="H156" s="23">
        <v>0.5</v>
      </c>
    </row>
    <row r="157" spans="1:8" ht="13.2">
      <c r="A157" s="34" t="s">
        <v>149</v>
      </c>
      <c r="B157" s="24">
        <f>IFERROR(VLOOKUP(A157, Tasks!A$89:E998,2, FALSE), "")</f>
        <v>4</v>
      </c>
      <c r="C157" s="24" t="str">
        <f>IFERROR(VLOOKUP(A157, Tasks!A$89:E998,3, FALSE), "")</f>
        <v>C9</v>
      </c>
      <c r="D157" s="25" t="str">
        <f>IFERROR(VLOOKUP(A157, Tasks!A$89:E998,5, FALSE), "")</f>
        <v xml:space="preserve">FXML: Add menu for GLOBAL stats (between Home and Settings) </v>
      </c>
      <c r="E157" s="30">
        <v>45059</v>
      </c>
      <c r="F157" s="36" t="s">
        <v>56</v>
      </c>
      <c r="G157" s="36" t="s">
        <v>63</v>
      </c>
      <c r="H157" s="28">
        <v>8</v>
      </c>
    </row>
    <row r="158" spans="1:8" ht="13.2">
      <c r="A158" s="35" t="s">
        <v>174</v>
      </c>
      <c r="B158" s="19">
        <f>IFERROR(VLOOKUP(A158, Tasks!A$89:E998,2, FALSE), "")</f>
        <v>4</v>
      </c>
      <c r="C158" s="19" t="str">
        <f>IFERROR(VLOOKUP(A158, Tasks!A$89:E998,3, FALSE), "")</f>
        <v>D8</v>
      </c>
      <c r="D158" s="20" t="str">
        <f>IFERROR(VLOOKUP(A158, Tasks!A$89:E998,5, FALSE), "")</f>
        <v>Feature: progress indicator for API calls</v>
      </c>
      <c r="E158" s="29">
        <v>45060</v>
      </c>
      <c r="F158" s="15" t="s">
        <v>66</v>
      </c>
      <c r="G158" s="15"/>
      <c r="H158" s="23">
        <v>5</v>
      </c>
    </row>
    <row r="159" spans="1:8" ht="26.4">
      <c r="A159" s="34" t="s">
        <v>175</v>
      </c>
      <c r="B159" s="24">
        <f>IFERROR(VLOOKUP(A159, Tasks!A$89:E998,2, FALSE), "")</f>
        <v>4</v>
      </c>
      <c r="C159" s="24" t="str">
        <f>IFERROR(VLOOKUP(A159, Tasks!A$89:E998,3, FALSE), "")</f>
        <v>D8</v>
      </c>
      <c r="D159" s="25" t="str">
        <f>IFERROR(VLOOKUP(A159, Tasks!A$89:E998,5, FALSE), "")</f>
        <v>Refactor: Create custom component for Deck in StoreDeckViewController - Spotlight</v>
      </c>
      <c r="E159" s="30">
        <v>45059</v>
      </c>
      <c r="F159" s="36" t="s">
        <v>70</v>
      </c>
      <c r="G159" s="36" t="s">
        <v>52</v>
      </c>
      <c r="H159" s="28">
        <v>1</v>
      </c>
    </row>
    <row r="160" spans="1:8" ht="13.2">
      <c r="A160" s="35" t="s">
        <v>176</v>
      </c>
      <c r="B160" s="19">
        <f>IFERROR(VLOOKUP(A160, Tasks!A$89:E998,2, FALSE), "")</f>
        <v>4</v>
      </c>
      <c r="C160" s="19" t="str">
        <f>IFERROR(VLOOKUP(A160, Tasks!A$89:E998,3, FALSE), "")</f>
        <v>D8</v>
      </c>
      <c r="D160" s="20" t="str">
        <f>IFERROR(VLOOKUP(A160, Tasks!A$89:E998,5, FALSE), "")</f>
        <v>Refactor: D8-024 with different pilots</v>
      </c>
      <c r="E160" s="29">
        <v>45061</v>
      </c>
      <c r="F160" s="15" t="s">
        <v>49</v>
      </c>
      <c r="G160" s="15" t="s">
        <v>52</v>
      </c>
      <c r="H160" s="23">
        <v>3.5</v>
      </c>
    </row>
    <row r="161" spans="1:8" ht="26.4">
      <c r="A161" s="34" t="s">
        <v>177</v>
      </c>
      <c r="B161" s="24">
        <f>IFERROR(VLOOKUP(A161, Tasks!A$89:E998,2, FALSE), "")</f>
        <v>4</v>
      </c>
      <c r="C161" s="24" t="str">
        <f>IFERROR(VLOOKUP(A161, Tasks!A$89:E998,3, FALSE), "")</f>
        <v>D8</v>
      </c>
      <c r="D161" s="25" t="str">
        <f>IFERROR(VLOOKUP(A161, Tasks!A$89:E998,5, FALSE), "")</f>
        <v>Refactor: Remove card and replace it with abstract card and replace instantiation in services with parsers</v>
      </c>
      <c r="E161" s="30">
        <v>45061</v>
      </c>
      <c r="F161" s="36" t="s">
        <v>49</v>
      </c>
      <c r="G161" s="36" t="s">
        <v>52</v>
      </c>
      <c r="H161" s="28">
        <v>1.5</v>
      </c>
    </row>
    <row r="162" spans="1:8" ht="13.2">
      <c r="A162" s="35" t="s">
        <v>178</v>
      </c>
      <c r="B162" s="19">
        <f>IFERROR(VLOOKUP(A162, Tasks!A$89:E998,2, FALSE), "")</f>
        <v>4</v>
      </c>
      <c r="C162" s="19" t="str">
        <f>IFERROR(VLOOKUP(A162, Tasks!A$89:E998,3, FALSE), "")</f>
        <v>D8</v>
      </c>
      <c r="D162" s="20" t="str">
        <f>IFERROR(VLOOKUP(A162, Tasks!A$89:E998,5, FALSE), "")</f>
        <v>Tests:  tests for userService</v>
      </c>
      <c r="E162" s="29">
        <v>45061</v>
      </c>
      <c r="F162" s="15" t="s">
        <v>49</v>
      </c>
      <c r="G162" s="15" t="s">
        <v>53</v>
      </c>
      <c r="H162" s="23">
        <v>1.5</v>
      </c>
    </row>
    <row r="163" spans="1:8" ht="26.4">
      <c r="A163" s="34" t="s">
        <v>177</v>
      </c>
      <c r="B163" s="24">
        <f>IFERROR(VLOOKUP(A163, Tasks!A$89:E998,2, FALSE), "")</f>
        <v>4</v>
      </c>
      <c r="C163" s="24" t="str">
        <f>IFERROR(VLOOKUP(A163, Tasks!A$89:E998,3, FALSE), "")</f>
        <v>D8</v>
      </c>
      <c r="D163" s="25" t="str">
        <f>IFERROR(VLOOKUP(A163, Tasks!A$89:E998,5, FALSE), "")</f>
        <v>Refactor: Remove card and replace it with abstract card and replace instantiation in services with parsers</v>
      </c>
      <c r="E163" s="30">
        <v>45062</v>
      </c>
      <c r="F163" s="36" t="s">
        <v>49</v>
      </c>
      <c r="G163" s="36" t="s">
        <v>52</v>
      </c>
      <c r="H163" s="28">
        <v>3</v>
      </c>
    </row>
    <row r="164" spans="1:8" ht="13.2">
      <c r="A164" s="35" t="s">
        <v>179</v>
      </c>
      <c r="B164" s="19">
        <f>IFERROR(VLOOKUP(A164, Tasks!A$89:E998,2, FALSE), "")</f>
        <v>4</v>
      </c>
      <c r="C164" s="19" t="str">
        <f>IFERROR(VLOOKUP(A164, Tasks!A$89:E998,3, FALSE), "")</f>
        <v>D8</v>
      </c>
      <c r="D164" s="20" t="str">
        <f>IFERROR(VLOOKUP(A164, Tasks!A$89:E998,5, FALSE), "")</f>
        <v>Tests: Configure Mockito + tests for tagService</v>
      </c>
      <c r="E164" s="29">
        <v>45062</v>
      </c>
      <c r="F164" s="15" t="s">
        <v>53</v>
      </c>
      <c r="G164" s="15" t="s">
        <v>49</v>
      </c>
      <c r="H164" s="23">
        <v>1.5</v>
      </c>
    </row>
    <row r="165" spans="1:8" ht="26.4">
      <c r="A165" s="42" t="s">
        <v>177</v>
      </c>
      <c r="B165" s="24">
        <f>IFERROR(VLOOKUP(A165, Tasks!A$89:E998,2, FALSE), "")</f>
        <v>4</v>
      </c>
      <c r="C165" s="24" t="str">
        <f>IFERROR(VLOOKUP(A165, Tasks!A$89:E998,3, FALSE), "")</f>
        <v>D8</v>
      </c>
      <c r="D165" s="25" t="str">
        <f>IFERROR(VLOOKUP(A165, Tasks!A$89:E998,5, FALSE), "")</f>
        <v>Refactor: Remove card and replace it with abstract card and replace instantiation in services with parsers</v>
      </c>
      <c r="E165" s="30">
        <v>45064</v>
      </c>
      <c r="F165" s="36" t="s">
        <v>52</v>
      </c>
      <c r="G165" s="36" t="s">
        <v>49</v>
      </c>
      <c r="H165" s="28">
        <v>3</v>
      </c>
    </row>
    <row r="166" spans="1:8" ht="13.2">
      <c r="A166" s="35" t="s">
        <v>180</v>
      </c>
      <c r="B166" s="19">
        <f>IFERROR(VLOOKUP(A166, Tasks!A$89:E998,2, FALSE), "")</f>
        <v>4</v>
      </c>
      <c r="C166" s="19" t="str">
        <f>IFERROR(VLOOKUP(A166, Tasks!A$89:E998,3, FALSE), "")</f>
        <v>D8</v>
      </c>
      <c r="D166" s="20" t="str">
        <f>IFERROR(VLOOKUP(A166, Tasks!A$89:E998,5, FALSE), "")</f>
        <v>PDF: Make PDF download choose location to save</v>
      </c>
      <c r="E166" s="29">
        <v>45066</v>
      </c>
      <c r="F166" s="15" t="s">
        <v>52</v>
      </c>
      <c r="G166" s="15" t="s">
        <v>70</v>
      </c>
      <c r="H166" s="23">
        <v>0.5</v>
      </c>
    </row>
    <row r="167" spans="1:8" ht="13.2">
      <c r="A167" s="34" t="s">
        <v>181</v>
      </c>
      <c r="B167" s="24">
        <f>IFERROR(VLOOKUP(A167, Tasks!A$89:E998,2, FALSE), "")</f>
        <v>4</v>
      </c>
      <c r="C167" s="24" t="str">
        <f>IFERROR(VLOOKUP(A167, Tasks!A$89:E998,3, FALSE), "")</f>
        <v>D8</v>
      </c>
      <c r="D167" s="25" t="str">
        <f>IFERROR(VLOOKUP(A167, Tasks!A$89:E998,5, FALSE), "")</f>
        <v xml:space="preserve">Code: General code refactor </v>
      </c>
      <c r="E167" s="30">
        <v>45066</v>
      </c>
      <c r="F167" s="36" t="s">
        <v>52</v>
      </c>
      <c r="G167" s="36"/>
      <c r="H167" s="28">
        <v>2</v>
      </c>
    </row>
    <row r="168" spans="1:8" ht="13.2">
      <c r="A168" s="35" t="s">
        <v>182</v>
      </c>
      <c r="B168" s="19">
        <f>IFERROR(VLOOKUP(A168, Tasks!A$89:E998,2, FALSE), "")</f>
        <v>4</v>
      </c>
      <c r="C168" s="19" t="str">
        <f>IFERROR(VLOOKUP(A168, Tasks!A$89:E998,3, FALSE), "")</f>
        <v>D8</v>
      </c>
      <c r="D168" s="20" t="str">
        <f>IFERROR(VLOOKUP(A168, Tasks!A$89:E998,5, FALSE), "")</f>
        <v xml:space="preserve">Tests: tests model for all modes </v>
      </c>
      <c r="E168" s="29">
        <v>45067</v>
      </c>
      <c r="F168" s="15" t="s">
        <v>53</v>
      </c>
      <c r="G168" s="15" t="s">
        <v>56</v>
      </c>
      <c r="H168" s="23">
        <v>2</v>
      </c>
    </row>
    <row r="169" spans="1:8" ht="26.4">
      <c r="A169" s="34" t="s">
        <v>183</v>
      </c>
      <c r="B169" s="24">
        <f>IFERROR(VLOOKUP(A169, Tasks!A$89:E998,2, FALSE), "")</f>
        <v>4</v>
      </c>
      <c r="C169" s="24" t="str">
        <f>IFERROR(VLOOKUP(A169, Tasks!A$89:E998,3, FALSE), "")</f>
        <v>D8</v>
      </c>
      <c r="D169" s="25" t="str">
        <f>IFERROR(VLOOKUP(A169, Tasks!A$89:E998,5, FALSE), "")</f>
        <v>Learning Mode: check all learning views and controllers (add docstrings, remove fixme, remove controls in view)</v>
      </c>
      <c r="E169" s="30">
        <v>45067</v>
      </c>
      <c r="F169" s="36" t="s">
        <v>53</v>
      </c>
      <c r="G169" s="36"/>
      <c r="H169" s="28">
        <v>2.5</v>
      </c>
    </row>
    <row r="170" spans="1:8" ht="13.2">
      <c r="A170" s="37" t="s">
        <v>184</v>
      </c>
      <c r="B170" s="19">
        <f>IFERROR(VLOOKUP(A170, Tasks!A$89:E998,2, FALSE), "")</f>
        <v>4</v>
      </c>
      <c r="C170" s="19" t="str">
        <f>IFERROR(VLOOKUP(A170, Tasks!A$89:E998,3, FALSE), "")</f>
        <v>D8</v>
      </c>
      <c r="D170" s="20" t="str">
        <f>IFERROR(VLOOKUP(A170, Tasks!A$89:E998,5, FALSE), "")</f>
        <v>FXML + Client: Make user not go to review mode if deck is empty</v>
      </c>
      <c r="E170" s="38">
        <v>45066</v>
      </c>
      <c r="F170" s="39" t="s">
        <v>52</v>
      </c>
      <c r="G170" s="15"/>
      <c r="H170" s="40">
        <v>0.5</v>
      </c>
    </row>
    <row r="171" spans="1:8" ht="13.2">
      <c r="A171" s="42" t="s">
        <v>185</v>
      </c>
      <c r="B171" s="24">
        <f>IFERROR(VLOOKUP(A171, Tasks!A$89:E998,2, FALSE), "")</f>
        <v>4</v>
      </c>
      <c r="C171" s="24" t="str">
        <f>IFERROR(VLOOKUP(A171, Tasks!A$89:E998,3, FALSE), "")</f>
        <v>D8</v>
      </c>
      <c r="D171" s="25" t="str">
        <f>IFERROR(VLOOKUP(A171, Tasks!A$89:E998,5, FALSE), "")</f>
        <v>Refactor: Remove calculation logic outside of model</v>
      </c>
      <c r="E171" s="43">
        <v>45065</v>
      </c>
      <c r="F171" s="44" t="s">
        <v>52</v>
      </c>
      <c r="G171" s="44" t="s">
        <v>49</v>
      </c>
      <c r="H171" s="45">
        <v>1.5</v>
      </c>
    </row>
    <row r="172" spans="1:8" ht="13.2">
      <c r="A172" s="35" t="s">
        <v>186</v>
      </c>
      <c r="B172" s="19">
        <v>4</v>
      </c>
      <c r="C172" s="19" t="str">
        <f>IFERROR(VLOOKUP(A172, Tasks!A$89:E998,3, FALSE), "")</f>
        <v>D8</v>
      </c>
      <c r="D172" s="20" t="str">
        <f>IFERROR(VLOOKUP(A172, Tasks!A$89:E998,5, FALSE), "")</f>
        <v>Javadoc</v>
      </c>
      <c r="E172" s="29">
        <v>45067</v>
      </c>
      <c r="F172" s="15" t="s">
        <v>45</v>
      </c>
      <c r="G172" s="15"/>
      <c r="H172" s="23">
        <v>2</v>
      </c>
    </row>
    <row r="173" spans="1:8" ht="13.2">
      <c r="A173" s="34" t="s">
        <v>187</v>
      </c>
      <c r="B173" s="24">
        <f>IFERROR(VLOOKUP(A173, Tasks!A$89:E998,2, FALSE), "")</f>
        <v>4</v>
      </c>
      <c r="C173" s="24" t="str">
        <f>IFERROR(VLOOKUP(A173, Tasks!A$89:E998,3, FALSE), "")</f>
        <v>D8</v>
      </c>
      <c r="D173" s="25" t="str">
        <f>IFERROR(VLOOKUP(A173, Tasks!A$89:E998,5, FALSE), "")</f>
        <v>Test parsers</v>
      </c>
      <c r="E173" s="30">
        <v>45067</v>
      </c>
      <c r="F173" s="36" t="s">
        <v>46</v>
      </c>
      <c r="G173" s="36"/>
      <c r="H173" s="28">
        <v>2</v>
      </c>
    </row>
    <row r="174" spans="1:8" ht="13.2">
      <c r="A174" s="35" t="s">
        <v>188</v>
      </c>
      <c r="B174" s="19">
        <f>IFERROR(VLOOKUP(A174, Tasks!A$89:E998,2, FALSE), "")</f>
        <v>4</v>
      </c>
      <c r="C174" s="19" t="str">
        <f>IFERROR(VLOOKUP(A174, Tasks!A$89:E998,3, FALSE), "")</f>
        <v>D8</v>
      </c>
      <c r="D174" s="20" t="str">
        <f>IFERROR(VLOOKUP(A174, Tasks!A$89:E998,5, FALSE), "")</f>
        <v>Thread: Make PDF use a thread to not block the execution of the app</v>
      </c>
      <c r="E174" s="29">
        <v>45060</v>
      </c>
      <c r="F174" s="15" t="s">
        <v>70</v>
      </c>
      <c r="G174" s="15" t="s">
        <v>52</v>
      </c>
      <c r="H174" s="23">
        <v>1</v>
      </c>
    </row>
    <row r="175" spans="1:8" ht="13.2">
      <c r="A175" s="34" t="s">
        <v>180</v>
      </c>
      <c r="B175" s="24">
        <f>IFERROR(VLOOKUP(A175, Tasks!A$89:E998,2, FALSE), "")</f>
        <v>4</v>
      </c>
      <c r="C175" s="24" t="str">
        <f>IFERROR(VLOOKUP(A175, Tasks!A$89:E998,3, FALSE), "")</f>
        <v>D8</v>
      </c>
      <c r="D175" s="25" t="str">
        <f>IFERROR(VLOOKUP(A175, Tasks!A$89:E998,5, FALSE), "")</f>
        <v>PDF: Make PDF download choose location to save</v>
      </c>
      <c r="E175" s="30">
        <v>45060</v>
      </c>
      <c r="F175" s="36" t="s">
        <v>52</v>
      </c>
      <c r="G175" s="36" t="s">
        <v>70</v>
      </c>
      <c r="H175" s="28">
        <v>0.5</v>
      </c>
    </row>
    <row r="176" spans="1:8" ht="13.2">
      <c r="A176" s="35" t="s">
        <v>152</v>
      </c>
      <c r="B176" s="19">
        <f>IFERROR(VLOOKUP(A176, Tasks!A$89:E998,2, FALSE), "")</f>
        <v>4</v>
      </c>
      <c r="C176" s="19" t="str">
        <f>IFERROR(VLOOKUP(A176, Tasks!A$89:E998,3, FALSE), "")</f>
        <v>C9</v>
      </c>
      <c r="D176" s="20" t="str">
        <f>IFERROR(VLOOKUP(A176, Tasks!A$89:E998,5, FALSE), "")</f>
        <v>Database: Model for statistics + Django API</v>
      </c>
      <c r="E176" s="29">
        <v>45062</v>
      </c>
      <c r="F176" s="15" t="s">
        <v>70</v>
      </c>
      <c r="G176" s="15"/>
      <c r="H176" s="23">
        <v>2</v>
      </c>
    </row>
    <row r="177" spans="1:8" ht="13.2">
      <c r="A177" s="34" t="s">
        <v>189</v>
      </c>
      <c r="B177" s="24">
        <f>IFERROR(VLOOKUP(A177, Tasks!A$89:E998,2, FALSE), "")</f>
        <v>4</v>
      </c>
      <c r="C177" s="24" t="str">
        <f>IFERROR(VLOOKUP(A177, Tasks!A$89:E998,3, FALSE), "")</f>
        <v>D8</v>
      </c>
      <c r="D177" s="25" t="str">
        <f>IFERROR(VLOOKUP(A177, Tasks!A$89:E998,5, FALSE), "")</f>
        <v xml:space="preserve">handle cloze based text card on edit Deck view </v>
      </c>
      <c r="E177" s="30">
        <v>45068</v>
      </c>
      <c r="F177" s="36" t="s">
        <v>53</v>
      </c>
      <c r="G177" s="36" t="s">
        <v>70</v>
      </c>
      <c r="H177" s="28">
        <v>2</v>
      </c>
    </row>
    <row r="178" spans="1:8" ht="13.2">
      <c r="A178" s="35" t="s">
        <v>190</v>
      </c>
      <c r="B178" s="19">
        <f>IFERROR(VLOOKUP(A178, Tasks!A$89:E998,2, FALSE), "")</f>
        <v>4</v>
      </c>
      <c r="C178" s="19" t="str">
        <f>IFERROR(VLOOKUP(A178, Tasks!A$89:E998,3, FALSE), "")</f>
        <v>D8</v>
      </c>
      <c r="D178" s="20" t="str">
        <f>IFERROR(VLOOKUP(A178, Tasks!A$89:E998,5, FALSE), "")</f>
        <v>Text to speech: remove static methods</v>
      </c>
      <c r="E178" s="29">
        <v>45068</v>
      </c>
      <c r="F178" s="15" t="s">
        <v>56</v>
      </c>
      <c r="G178" s="15"/>
      <c r="H178" s="23">
        <v>1</v>
      </c>
    </row>
    <row r="179" spans="1:8" ht="13.2">
      <c r="A179" s="34" t="s">
        <v>191</v>
      </c>
      <c r="B179" s="24">
        <f>IFERROR(VLOOKUP(A179, Tasks!A$89:E998,2, FALSE), "")</f>
        <v>4</v>
      </c>
      <c r="C179" s="24" t="str">
        <f>IFERROR(VLOOKUP(A179, Tasks!A$89:E998,3, FALSE), "")</f>
        <v>D8</v>
      </c>
      <c r="D179" s="25" t="str">
        <f>IFERROR(VLOOKUP(A179, Tasks!A$89:E998,5, FALSE), "")</f>
        <v>Fix old Jar files</v>
      </c>
      <c r="E179" s="30">
        <v>45068</v>
      </c>
      <c r="F179" s="36" t="s">
        <v>70</v>
      </c>
      <c r="G179" s="36" t="s">
        <v>53</v>
      </c>
      <c r="H179" s="28">
        <v>0.5</v>
      </c>
    </row>
    <row r="180" spans="1:8" ht="26.4">
      <c r="A180" s="35" t="s">
        <v>157</v>
      </c>
      <c r="B180" s="19">
        <f>IFERROR(VLOOKUP(A180, Tasks!A$89:E998,2, FALSE), "")</f>
        <v>4</v>
      </c>
      <c r="C180" s="19" t="str">
        <f>IFERROR(VLOOKUP(A180, Tasks!A$89:E998,3, FALSE), "")</f>
        <v>D8</v>
      </c>
      <c r="D180" s="20" t="str">
        <f>IFERROR(VLOOKUP(A180, Tasks!A$89:E998,5, FALSE), "")</f>
        <v>FXML: Add help button in modes and edit card dialog to show how to format questions</v>
      </c>
      <c r="E180" s="29">
        <v>45068</v>
      </c>
      <c r="F180" s="15" t="s">
        <v>63</v>
      </c>
      <c r="G180" s="15" t="s">
        <v>59</v>
      </c>
      <c r="H180" s="23">
        <v>2.5</v>
      </c>
    </row>
    <row r="181" spans="1:8" ht="13.2">
      <c r="A181" s="34" t="s">
        <v>192</v>
      </c>
      <c r="B181" s="24">
        <f>IFERROR(VLOOKUP(A181, Tasks!A$89:E998,2, FALSE), "")</f>
        <v>4</v>
      </c>
      <c r="C181" s="24" t="str">
        <f>IFERROR(VLOOKUP(A181, Tasks!A$89:E998,3, FALSE), "")</f>
        <v>D8</v>
      </c>
      <c r="D181" s="25" t="str">
        <f>IFERROR(VLOOKUP(A181, Tasks!A$89:E998,5, FALSE), "")</f>
        <v>Refactor: EditCardDialog</v>
      </c>
      <c r="E181" s="30">
        <v>45068</v>
      </c>
      <c r="F181" s="36" t="s">
        <v>59</v>
      </c>
      <c r="G181" s="36" t="s">
        <v>63</v>
      </c>
      <c r="H181" s="28">
        <v>4</v>
      </c>
    </row>
    <row r="182" spans="1:8" ht="13.2">
      <c r="A182" s="35" t="s">
        <v>193</v>
      </c>
      <c r="B182" s="19">
        <f>IFERROR(VLOOKUP(A182, Tasks!A$89:E998,2, FALSE), "")</f>
        <v>4</v>
      </c>
      <c r="C182" s="19" t="str">
        <f>IFERROR(VLOOKUP(A182, Tasks!A$89:E998,3, FALSE), "")</f>
        <v>D8</v>
      </c>
      <c r="D182" s="20" t="str">
        <f>IFERROR(VLOOKUP(A182, Tasks!A$89:E998,5, FALSE), "")</f>
        <v>Demo</v>
      </c>
      <c r="E182" s="29">
        <v>45068</v>
      </c>
      <c r="F182" s="15" t="s">
        <v>53</v>
      </c>
      <c r="G182" s="15"/>
      <c r="H182" s="23">
        <v>1.5</v>
      </c>
    </row>
    <row r="183" spans="1:8" ht="13.2">
      <c r="A183" s="34" t="s">
        <v>186</v>
      </c>
      <c r="B183" s="24">
        <f>IFERROR(VLOOKUP(A183, Tasks!A$89:E998,2, FALSE), "")</f>
        <v>4</v>
      </c>
      <c r="C183" s="24" t="str">
        <f>IFERROR(VLOOKUP(A183, Tasks!A$89:E998,3, FALSE), "")</f>
        <v>D8</v>
      </c>
      <c r="D183" s="25" t="str">
        <f>IFERROR(VLOOKUP(A183, Tasks!A$89:E998,5, FALSE), "")</f>
        <v>Javadoc</v>
      </c>
      <c r="E183" s="30">
        <v>45068</v>
      </c>
      <c r="F183" s="36" t="s">
        <v>45</v>
      </c>
      <c r="G183" s="36"/>
      <c r="H183" s="28">
        <v>2</v>
      </c>
    </row>
    <row r="184" spans="1:8" ht="13.2">
      <c r="A184" s="35"/>
      <c r="B184" s="19" t="str">
        <f>IFERROR(VLOOKUP(A184, Tasks!A$89:E998,2, FALSE), "")</f>
        <v/>
      </c>
      <c r="C184" s="19" t="str">
        <f>IFERROR(VLOOKUP(A184, Tasks!A$89:E998,3, FALSE), "")</f>
        <v/>
      </c>
      <c r="D184" s="20" t="str">
        <f>IFERROR(VLOOKUP(A184, Tasks!A$89:E998,5, FALSE), "")</f>
        <v/>
      </c>
      <c r="E184" s="15"/>
      <c r="F184" s="15"/>
      <c r="G184" s="15"/>
      <c r="H184" s="23"/>
    </row>
    <row r="185" spans="1:8" ht="13.2">
      <c r="A185" s="34"/>
      <c r="B185" s="24" t="str">
        <f>IFERROR(VLOOKUP(A185, Tasks!A$89:E998,2, FALSE), "")</f>
        <v/>
      </c>
      <c r="C185" s="24" t="str">
        <f>IFERROR(VLOOKUP(A185, Tasks!A$89:E998,3, FALSE), "")</f>
        <v/>
      </c>
      <c r="D185" s="25" t="str">
        <f>IFERROR(VLOOKUP(A185, Tasks!A$89:E998,5, FALSE), "")</f>
        <v/>
      </c>
      <c r="E185" s="36"/>
      <c r="F185" s="36"/>
      <c r="G185" s="36"/>
      <c r="H185" s="28"/>
    </row>
    <row r="186" spans="1:8" ht="13.2">
      <c r="A186" s="35"/>
      <c r="B186" s="19" t="str">
        <f>IFERROR(VLOOKUP(A186, Tasks!A$89:E998,2, FALSE), "")</f>
        <v/>
      </c>
      <c r="C186" s="19" t="str">
        <f>IFERROR(VLOOKUP(A186, Tasks!A$89:E$133,3, FALSE), "")</f>
        <v/>
      </c>
      <c r="D186" s="20" t="str">
        <f>IFERROR(VLOOKUP(A186, Tasks!A$89:E998,5, FALSE), "")</f>
        <v/>
      </c>
      <c r="E186" s="15"/>
      <c r="F186" s="15"/>
      <c r="G186" s="15"/>
      <c r="H186" s="23"/>
    </row>
    <row r="187" spans="1:8" ht="13.2">
      <c r="A187" s="34"/>
      <c r="B187" s="24" t="str">
        <f>IFERROR(VLOOKUP(A187, Tasks!A$89:E998,2, FALSE), "")</f>
        <v/>
      </c>
      <c r="C187" s="24" t="str">
        <f>IFERROR(VLOOKUP(A187, Tasks!A$89:E$133,3, FALSE), "")</f>
        <v/>
      </c>
      <c r="D187" s="25" t="str">
        <f>IFERROR(VLOOKUP(A187, Tasks!A$89:E998,5, FALSE), "")</f>
        <v/>
      </c>
      <c r="E187" s="36"/>
      <c r="F187" s="36"/>
      <c r="G187" s="36"/>
      <c r="H187" s="28"/>
    </row>
    <row r="188" spans="1:8" ht="13.2">
      <c r="A188" s="35"/>
      <c r="B188" s="19" t="str">
        <f>IFERROR(VLOOKUP(A188, Tasks!A$89:E998,2, FALSE), "")</f>
        <v/>
      </c>
      <c r="C188" s="19" t="str">
        <f>IFERROR(VLOOKUP(A188, Tasks!A$89:E$133,3, FALSE), "")</f>
        <v/>
      </c>
      <c r="D188" s="20" t="str">
        <f>IFERROR(VLOOKUP(A188, Tasks!A$89:E998,5, FALSE), "")</f>
        <v/>
      </c>
      <c r="E188" s="15"/>
      <c r="F188" s="15"/>
      <c r="G188" s="15"/>
      <c r="H188" s="23"/>
    </row>
    <row r="189" spans="1:8" ht="13.2">
      <c r="A189" s="34"/>
      <c r="B189" s="24" t="str">
        <f>IFERROR(VLOOKUP(A189, Tasks!A$89:E998,2, FALSE), "")</f>
        <v/>
      </c>
      <c r="C189" s="24" t="str">
        <f>IFERROR(VLOOKUP(A189, Tasks!A$89:E$133,3, FALSE), "")</f>
        <v/>
      </c>
      <c r="D189" s="25" t="str">
        <f>IFERROR(VLOOKUP(A189, Tasks!A$89:E998,5, FALSE), "")</f>
        <v/>
      </c>
      <c r="E189" s="36"/>
      <c r="F189" s="36"/>
      <c r="G189" s="36"/>
      <c r="H189" s="28"/>
    </row>
    <row r="190" spans="1:8" ht="13.2">
      <c r="A190" s="35"/>
      <c r="B190" s="19" t="str">
        <f>IFERROR(VLOOKUP(A190, Tasks!A$89:E998,2, FALSE), "")</f>
        <v/>
      </c>
      <c r="C190" s="19" t="str">
        <f>IFERROR(VLOOKUP(A190, Tasks!A$89:E$133,3, FALSE), "")</f>
        <v/>
      </c>
      <c r="D190" s="20" t="str">
        <f>IFERROR(VLOOKUP(A190, Tasks!A$89:E998,5, FALSE), "")</f>
        <v/>
      </c>
      <c r="E190" s="15"/>
      <c r="F190" s="15"/>
      <c r="G190" s="15"/>
      <c r="H190" s="23"/>
    </row>
    <row r="191" spans="1:8" ht="13.2">
      <c r="A191" s="34"/>
      <c r="B191" s="24" t="str">
        <f>IFERROR(VLOOKUP(A191, Tasks!A$89:E998,2, FALSE), "")</f>
        <v/>
      </c>
      <c r="C191" s="24" t="str">
        <f>IFERROR(VLOOKUP(A191, Tasks!A$89:E$133,3, FALSE), "")</f>
        <v/>
      </c>
      <c r="D191" s="25" t="str">
        <f>IFERROR(VLOOKUP(A191, Tasks!A$89:E998,5, FALSE), "")</f>
        <v/>
      </c>
      <c r="E191" s="36"/>
      <c r="F191" s="36"/>
      <c r="G191" s="36"/>
      <c r="H191" s="28"/>
    </row>
    <row r="192" spans="1:8" ht="13.2">
      <c r="A192" s="35"/>
      <c r="B192" s="19" t="str">
        <f>IFERROR(VLOOKUP(A192, Tasks!A$89:E998,2, FALSE), "")</f>
        <v/>
      </c>
      <c r="C192" s="19" t="str">
        <f>IFERROR(VLOOKUP(A192, Tasks!A$89:E$133,3, FALSE), "")</f>
        <v/>
      </c>
      <c r="D192" s="20" t="str">
        <f>IFERROR(VLOOKUP(A192, Tasks!A$89:E998,5, FALSE), "")</f>
        <v/>
      </c>
      <c r="E192" s="15"/>
      <c r="F192" s="15"/>
      <c r="G192" s="15"/>
      <c r="H192" s="23"/>
    </row>
    <row r="193" spans="1:8" ht="13.2">
      <c r="A193" s="34"/>
      <c r="B193" s="24" t="str">
        <f>IFERROR(VLOOKUP(A193, Tasks!A$89:E998,2, FALSE), "")</f>
        <v/>
      </c>
      <c r="C193" s="24" t="str">
        <f>IFERROR(VLOOKUP(A193, Tasks!A$89:E$133,3, FALSE), "")</f>
        <v/>
      </c>
      <c r="D193" s="25" t="str">
        <f>IFERROR(VLOOKUP(A193, Tasks!A$89:E998,5, FALSE), "")</f>
        <v/>
      </c>
      <c r="E193" s="36"/>
      <c r="F193" s="36"/>
      <c r="G193" s="36"/>
      <c r="H193" s="28"/>
    </row>
    <row r="194" spans="1:8" ht="13.2">
      <c r="A194" s="35"/>
      <c r="B194" s="19" t="str">
        <f>IFERROR(VLOOKUP(A194, Tasks!A$89:E998,2, FALSE), "")</f>
        <v/>
      </c>
      <c r="C194" s="19" t="str">
        <f>IFERROR(VLOOKUP(A194, Tasks!A$89:E$133,3, FALSE), "")</f>
        <v/>
      </c>
      <c r="D194" s="20" t="str">
        <f>IFERROR(VLOOKUP(A194, Tasks!A$89:E998,5, FALSE), "")</f>
        <v/>
      </c>
      <c r="E194" s="15"/>
      <c r="F194" s="15"/>
      <c r="G194" s="15"/>
      <c r="H194" s="23"/>
    </row>
    <row r="195" spans="1:8" ht="13.2">
      <c r="A195" s="34"/>
      <c r="B195" s="24" t="str">
        <f>IFERROR(VLOOKUP(A195, Tasks!A$89:E998,2, FALSE), "")</f>
        <v/>
      </c>
      <c r="C195" s="24" t="str">
        <f>IFERROR(VLOOKUP(A195, Tasks!A$89:E$133,3, FALSE), "")</f>
        <v/>
      </c>
      <c r="D195" s="25" t="str">
        <f>IFERROR(VLOOKUP(A195, Tasks!A$89:E998,5, FALSE), "")</f>
        <v/>
      </c>
      <c r="E195" s="36"/>
      <c r="F195" s="36"/>
      <c r="G195" s="36"/>
      <c r="H195" s="28"/>
    </row>
    <row r="196" spans="1:8" ht="13.2">
      <c r="A196" s="35"/>
      <c r="B196" s="19" t="str">
        <f>IFERROR(VLOOKUP(A196, Tasks!A$89:E998,2, FALSE), "")</f>
        <v/>
      </c>
      <c r="C196" s="19" t="str">
        <f>IFERROR(VLOOKUP(A196, Tasks!A$89:E$133,3, FALSE), "")</f>
        <v/>
      </c>
      <c r="D196" s="20" t="str">
        <f>IFERROR(VLOOKUP(A196, Tasks!A$89:E998,5, FALSE), "")</f>
        <v/>
      </c>
      <c r="E196" s="15"/>
      <c r="F196" s="15"/>
      <c r="G196" s="15"/>
      <c r="H196" s="23"/>
    </row>
    <row r="197" spans="1:8" ht="13.2">
      <c r="A197" s="34"/>
      <c r="B197" s="24" t="str">
        <f>IFERROR(VLOOKUP(A197, Tasks!A$89:E$133,2, FALSE), "")</f>
        <v/>
      </c>
      <c r="C197" s="24" t="str">
        <f>IFERROR(VLOOKUP(A197, Tasks!A$89:E$133,3, FALSE), "")</f>
        <v/>
      </c>
      <c r="D197" s="25" t="str">
        <f>IFERROR(VLOOKUP(A197, Tasks!A$89:E998,5, FALSE), "")</f>
        <v/>
      </c>
      <c r="E197" s="36"/>
      <c r="F197" s="36"/>
      <c r="G197" s="36"/>
      <c r="H197" s="28"/>
    </row>
    <row r="198" spans="1:8" ht="13.2">
      <c r="A198" s="35"/>
      <c r="B198" s="19" t="str">
        <f>IFERROR(VLOOKUP(A198, Tasks!A$89:E$133,2, FALSE), "")</f>
        <v/>
      </c>
      <c r="C198" s="19" t="str">
        <f>IFERROR(VLOOKUP(A198, Tasks!A$89:E$133,3, FALSE), "")</f>
        <v/>
      </c>
      <c r="D198" s="20" t="str">
        <f>IFERROR(VLOOKUP(A198, Tasks!A$89:E998,5, FALSE), "")</f>
        <v/>
      </c>
      <c r="E198" s="15"/>
      <c r="F198" s="15"/>
      <c r="G198" s="15"/>
      <c r="H198" s="23"/>
    </row>
    <row r="199" spans="1:8" ht="13.2">
      <c r="A199" s="34"/>
      <c r="B199" s="24" t="str">
        <f>IFERROR(VLOOKUP(A199, Tasks!A$89:E$133,2, FALSE), "")</f>
        <v/>
      </c>
      <c r="C199" s="24" t="str">
        <f>IFERROR(VLOOKUP(A199, Tasks!A$89:E$133,3, FALSE), "")</f>
        <v/>
      </c>
      <c r="D199" s="25" t="str">
        <f>IFERROR(VLOOKUP(A199, Tasks!A$89:E998,5, FALSE), "")</f>
        <v/>
      </c>
      <c r="E199" s="36"/>
      <c r="F199" s="36"/>
      <c r="G199" s="36"/>
      <c r="H199" s="28"/>
    </row>
    <row r="200" spans="1:8" ht="13.2">
      <c r="A200" s="35"/>
      <c r="B200" s="19" t="str">
        <f>IFERROR(VLOOKUP(A200, Tasks!A$89:E$133,2, FALSE), "")</f>
        <v/>
      </c>
      <c r="C200" s="19" t="str">
        <f>IFERROR(VLOOKUP(A200, Tasks!A$89:E$133,3, FALSE), "")</f>
        <v/>
      </c>
      <c r="D200" s="20" t="str">
        <f>IFERROR(VLOOKUP(A200, Tasks!A$89:E998,5, FALSE), "")</f>
        <v/>
      </c>
      <c r="E200" s="15"/>
      <c r="F200" s="15"/>
      <c r="G200" s="15"/>
      <c r="H200" s="23"/>
    </row>
    <row r="201" spans="1:8" ht="13.2">
      <c r="A201" s="34"/>
      <c r="B201" s="24" t="str">
        <f>IFERROR(VLOOKUP(A201, Tasks!A$89:E$133,2, FALSE), "")</f>
        <v/>
      </c>
      <c r="C201" s="24" t="str">
        <f>IFERROR(VLOOKUP(A201, Tasks!A$89:E$133,3, FALSE), "")</f>
        <v/>
      </c>
      <c r="D201" s="25" t="str">
        <f>IFERROR(VLOOKUP(A201, Tasks!A$89:E998,5, FALSE), "")</f>
        <v/>
      </c>
      <c r="E201" s="36"/>
      <c r="F201" s="36"/>
      <c r="G201" s="36"/>
      <c r="H201" s="28"/>
    </row>
    <row r="202" spans="1:8" ht="13.2">
      <c r="A202" s="35"/>
      <c r="B202" s="19" t="str">
        <f>IFERROR(VLOOKUP(A202, Tasks!A$89:E$133,2, FALSE), "")</f>
        <v/>
      </c>
      <c r="C202" s="19" t="str">
        <f>IFERROR(VLOOKUP(A202, Tasks!A$89:E$133,3, FALSE), "")</f>
        <v/>
      </c>
      <c r="D202" s="20" t="str">
        <f>IFERROR(VLOOKUP(A202, Tasks!A$89:E998,5, FALSE), "")</f>
        <v/>
      </c>
      <c r="E202" s="15"/>
      <c r="F202" s="15"/>
      <c r="G202" s="15"/>
      <c r="H202" s="23"/>
    </row>
    <row r="203" spans="1:8" ht="13.2">
      <c r="A203" s="34"/>
      <c r="B203" s="24" t="str">
        <f>IFERROR(VLOOKUP(A203, Tasks!A$89:E$133,2, FALSE), "")</f>
        <v/>
      </c>
      <c r="C203" s="24" t="str">
        <f>IFERROR(VLOOKUP(A203, Tasks!A$89:E$133,3, FALSE), "")</f>
        <v/>
      </c>
      <c r="D203" s="25" t="str">
        <f>IFERROR(VLOOKUP(A203, Tasks!A$89:E998,5, FALSE), "")</f>
        <v/>
      </c>
      <c r="E203" s="36"/>
      <c r="F203" s="36"/>
      <c r="G203" s="36"/>
      <c r="H203" s="28"/>
    </row>
    <row r="204" spans="1:8" ht="13.2">
      <c r="A204" s="35"/>
      <c r="B204" s="19" t="str">
        <f>IFERROR(VLOOKUP(A204, Tasks!A$89:E$133,2, FALSE), "")</f>
        <v/>
      </c>
      <c r="C204" s="19" t="str">
        <f>IFERROR(VLOOKUP(A204, Tasks!A$89:E$133,3, FALSE), "")</f>
        <v/>
      </c>
      <c r="D204" s="20" t="str">
        <f>IFERROR(VLOOKUP(A204, Tasks!A$89:E998,5, FALSE), "")</f>
        <v/>
      </c>
      <c r="E204" s="15"/>
      <c r="F204" s="15"/>
      <c r="G204" s="15"/>
      <c r="H204" s="23"/>
    </row>
    <row r="205" spans="1:8" ht="13.2">
      <c r="A205" s="34"/>
      <c r="B205" s="24" t="str">
        <f>IFERROR(VLOOKUP(A205, Tasks!A$89:E$133,2, FALSE), "")</f>
        <v/>
      </c>
      <c r="C205" s="24" t="str">
        <f>IFERROR(VLOOKUP(A205, Tasks!A$89:E$133,3, FALSE), "")</f>
        <v/>
      </c>
      <c r="D205" s="25" t="str">
        <f>IFERROR(VLOOKUP(A205, Tasks!A$89:E998,5, FALSE), "")</f>
        <v/>
      </c>
      <c r="E205" s="36"/>
      <c r="F205" s="36"/>
      <c r="G205" s="36"/>
      <c r="H205" s="28"/>
    </row>
    <row r="206" spans="1:8" ht="13.2">
      <c r="A206" s="35"/>
      <c r="B206" s="19" t="str">
        <f>IFERROR(VLOOKUP(A206, Tasks!A$89:E$133,2, FALSE), "")</f>
        <v/>
      </c>
      <c r="C206" s="19" t="str">
        <f>IFERROR(VLOOKUP(A206, Tasks!A$89:E$133,3, FALSE), "")</f>
        <v/>
      </c>
      <c r="D206" s="20" t="str">
        <f>IFERROR(VLOOKUP(A206, Tasks!A$89:E998,5, FALSE), "")</f>
        <v/>
      </c>
      <c r="E206" s="15"/>
      <c r="F206" s="15"/>
      <c r="G206" s="15"/>
      <c r="H206" s="23"/>
    </row>
    <row r="207" spans="1:8" ht="13.2">
      <c r="A207" s="34"/>
      <c r="B207" s="24" t="str">
        <f>IFERROR(VLOOKUP(A207, Tasks!A$89:E$133,2, FALSE), "")</f>
        <v/>
      </c>
      <c r="C207" s="24" t="str">
        <f>IFERROR(VLOOKUP(A207, Tasks!A$89:E$133,3, FALSE), "")</f>
        <v/>
      </c>
      <c r="D207" s="25" t="str">
        <f>IFERROR(VLOOKUP(A207, Tasks!A$89:E998,5, FALSE), "")</f>
        <v/>
      </c>
      <c r="E207" s="36"/>
      <c r="F207" s="36"/>
      <c r="G207" s="36"/>
      <c r="H207" s="28"/>
    </row>
    <row r="208" spans="1:8" ht="13.2">
      <c r="A208" s="35"/>
      <c r="B208" s="19" t="str">
        <f>IFERROR(VLOOKUP(A208, Tasks!A$89:E$133,2, FALSE), "")</f>
        <v/>
      </c>
      <c r="C208" s="19" t="str">
        <f>IFERROR(VLOOKUP(A208, Tasks!A$89:E$133,3, FALSE), "")</f>
        <v/>
      </c>
      <c r="D208" s="35"/>
      <c r="E208" s="15"/>
      <c r="F208" s="15"/>
      <c r="G208" s="15"/>
      <c r="H208" s="23"/>
    </row>
    <row r="209" spans="1:8" ht="13.2">
      <c r="A209" s="34"/>
      <c r="B209" s="24" t="str">
        <f>IFERROR(VLOOKUP(A209, Tasks!A$89:E$133,2, FALSE), "")</f>
        <v/>
      </c>
      <c r="C209" s="24" t="str">
        <f>IFERROR(VLOOKUP(A209, Tasks!A$89:E$133,3, FALSE), "")</f>
        <v/>
      </c>
      <c r="D209" s="34"/>
      <c r="E209" s="36"/>
      <c r="F209" s="36"/>
      <c r="G209" s="36"/>
      <c r="H209" s="28"/>
    </row>
    <row r="210" spans="1:8" ht="13.2">
      <c r="A210" s="35"/>
      <c r="B210" s="19" t="str">
        <f>IFERROR(VLOOKUP(A210, Tasks!A$89:E$133,2, FALSE), "")</f>
        <v/>
      </c>
      <c r="C210" s="19" t="str">
        <f>IFERROR(VLOOKUP(A210, Tasks!A$89:E$133,3, FALSE), "")</f>
        <v/>
      </c>
      <c r="D210" s="35"/>
      <c r="E210" s="15"/>
      <c r="F210" s="15"/>
      <c r="G210" s="15"/>
      <c r="H210" s="23"/>
    </row>
    <row r="211" spans="1:8" ht="13.2">
      <c r="A211" s="34"/>
      <c r="B211" s="24" t="str">
        <f>IFERROR(VLOOKUP(A211, Tasks!A$89:E$133,2, FALSE), "")</f>
        <v/>
      </c>
      <c r="C211" s="24" t="str">
        <f>IFERROR(VLOOKUP(A211, Tasks!A$89:E$133,3, FALSE), "")</f>
        <v/>
      </c>
      <c r="D211" s="34"/>
      <c r="E211" s="36"/>
      <c r="F211" s="36"/>
      <c r="G211" s="36"/>
      <c r="H211" s="28"/>
    </row>
    <row r="212" spans="1:8" ht="13.2">
      <c r="A212" s="35"/>
      <c r="B212" s="19" t="str">
        <f>IFERROR(VLOOKUP(A212, Tasks!A$89:E$133,2, FALSE), "")</f>
        <v/>
      </c>
      <c r="C212" s="19" t="str">
        <f>IFERROR(VLOOKUP(A212, Tasks!A$89:E$133,3, FALSE), "")</f>
        <v/>
      </c>
      <c r="D212" s="35"/>
      <c r="E212" s="15"/>
      <c r="F212" s="15"/>
      <c r="G212" s="15"/>
      <c r="H212" s="23"/>
    </row>
    <row r="213" spans="1:8" ht="13.2">
      <c r="A213" s="34"/>
      <c r="B213" s="24" t="str">
        <f>IFERROR(VLOOKUP(A213, Tasks!A$89:E$133,2, FALSE), "")</f>
        <v/>
      </c>
      <c r="C213" s="24" t="str">
        <f>IFERROR(VLOOKUP(A213, Tasks!A$89:E$133,3, FALSE), "")</f>
        <v/>
      </c>
      <c r="D213" s="34"/>
      <c r="E213" s="36"/>
      <c r="F213" s="36"/>
      <c r="G213" s="36"/>
      <c r="H213" s="28"/>
    </row>
    <row r="214" spans="1:8" ht="13.2">
      <c r="A214" s="35"/>
      <c r="B214" s="19" t="str">
        <f>IFERROR(VLOOKUP(A214, Tasks!A$89:E$133,2, FALSE), "")</f>
        <v/>
      </c>
      <c r="C214" s="19" t="str">
        <f>IFERROR(VLOOKUP(A214, Tasks!A$89:E$133,3, FALSE), "")</f>
        <v/>
      </c>
      <c r="D214" s="35"/>
      <c r="E214" s="15"/>
      <c r="F214" s="15"/>
      <c r="G214" s="15"/>
      <c r="H214" s="23"/>
    </row>
    <row r="215" spans="1:8" ht="13.2">
      <c r="A215" s="34"/>
      <c r="B215" s="24" t="str">
        <f>IFERROR(VLOOKUP(A215, Tasks!A$89:E$133,2, FALSE), "")</f>
        <v/>
      </c>
      <c r="C215" s="24" t="str">
        <f>IFERROR(VLOOKUP(A215, Tasks!A$89:E$133,3, FALSE), "")</f>
        <v/>
      </c>
      <c r="D215" s="34"/>
      <c r="E215" s="36"/>
      <c r="F215" s="36"/>
      <c r="G215" s="36"/>
      <c r="H215" s="28"/>
    </row>
    <row r="216" spans="1:8" ht="13.2">
      <c r="A216" s="35"/>
      <c r="B216" s="19" t="str">
        <f>IFERROR(VLOOKUP(A216, Tasks!A$89:E$133,2, FALSE), "")</f>
        <v/>
      </c>
      <c r="C216" s="19" t="str">
        <f>IFERROR(VLOOKUP(A216, Tasks!A$89:E$133,3, FALSE), "")</f>
        <v/>
      </c>
      <c r="D216" s="35"/>
      <c r="E216" s="15"/>
      <c r="F216" s="15"/>
      <c r="G216" s="15"/>
      <c r="H216" s="23"/>
    </row>
    <row r="217" spans="1:8" ht="13.2">
      <c r="A217" s="34"/>
      <c r="B217" s="24" t="str">
        <f>IFERROR(VLOOKUP(A217, Tasks!A$89:E$133,2, FALSE), "")</f>
        <v/>
      </c>
      <c r="C217" s="24" t="str">
        <f>IFERROR(VLOOKUP(A217, Tasks!A$89:E$133,3, FALSE), "")</f>
        <v/>
      </c>
      <c r="D217" s="34"/>
      <c r="E217" s="36"/>
      <c r="F217" s="36"/>
      <c r="G217" s="36"/>
      <c r="H217" s="28"/>
    </row>
    <row r="218" spans="1:8" ht="13.2">
      <c r="A218" s="35"/>
      <c r="B218" s="19" t="str">
        <f>IFERROR(VLOOKUP(A218, Tasks!A$89:E$133,2, FALSE), "")</f>
        <v/>
      </c>
      <c r="C218" s="19" t="str">
        <f>IFERROR(VLOOKUP(A218, Tasks!A$89:E$133,3, FALSE), "")</f>
        <v/>
      </c>
      <c r="D218" s="35"/>
      <c r="E218" s="15"/>
      <c r="F218" s="15"/>
      <c r="G218" s="15"/>
      <c r="H218" s="23"/>
    </row>
    <row r="219" spans="1:8" ht="13.2">
      <c r="A219" s="34"/>
      <c r="B219" s="24" t="str">
        <f>IFERROR(VLOOKUP(A219, Tasks!A$89:E$133,2, FALSE), "")</f>
        <v/>
      </c>
      <c r="C219" s="24" t="str">
        <f>IFERROR(VLOOKUP(A219, Tasks!A$89:E$133,3, FALSE), "")</f>
        <v/>
      </c>
      <c r="D219" s="34"/>
      <c r="E219" s="36"/>
      <c r="F219" s="36"/>
      <c r="G219" s="36"/>
      <c r="H219" s="28"/>
    </row>
    <row r="220" spans="1:8" ht="13.2">
      <c r="A220" s="35"/>
      <c r="B220" s="19" t="str">
        <f>IFERROR(VLOOKUP(A220, Tasks!A$89:E$133,2, FALSE), "")</f>
        <v/>
      </c>
      <c r="C220" s="19" t="str">
        <f>IFERROR(VLOOKUP(A220, Tasks!A$89:E$133,3, FALSE), "")</f>
        <v/>
      </c>
      <c r="D220" s="35"/>
      <c r="E220" s="15"/>
      <c r="F220" s="15"/>
      <c r="G220" s="15"/>
      <c r="H220" s="23"/>
    </row>
    <row r="221" spans="1:8" ht="13.2">
      <c r="A221" s="34"/>
      <c r="B221" s="24" t="str">
        <f>IFERROR(VLOOKUP(A221, Tasks!A$89:E$133,2, FALSE), "")</f>
        <v/>
      </c>
      <c r="C221" s="24" t="str">
        <f>IFERROR(VLOOKUP(A221, Tasks!A$89:E$133,3, FALSE), "")</f>
        <v/>
      </c>
      <c r="D221" s="34"/>
      <c r="E221" s="36"/>
      <c r="F221" s="36"/>
      <c r="G221" s="36"/>
      <c r="H221" s="28"/>
    </row>
    <row r="222" spans="1:8" ht="13.2">
      <c r="A222" s="35"/>
      <c r="B222" s="19" t="str">
        <f>IFERROR(VLOOKUP(A222, Tasks!A$89:E$133,2, FALSE), "")</f>
        <v/>
      </c>
      <c r="C222" s="19" t="str">
        <f>IFERROR(VLOOKUP(A222, Tasks!A$89:E$133,3, FALSE), "")</f>
        <v/>
      </c>
      <c r="D222" s="35"/>
      <c r="E222" s="15"/>
      <c r="F222" s="15"/>
      <c r="G222" s="15"/>
      <c r="H222" s="23"/>
    </row>
    <row r="223" spans="1:8" ht="13.2">
      <c r="A223" s="34"/>
      <c r="B223" s="24" t="str">
        <f>IFERROR(VLOOKUP(A223, Tasks!A$89:E$133,2, FALSE), "")</f>
        <v/>
      </c>
      <c r="C223" s="24" t="str">
        <f>IFERROR(VLOOKUP(A223, Tasks!A$89:E$133,3, FALSE), "")</f>
        <v/>
      </c>
      <c r="D223" s="34"/>
      <c r="E223" s="36"/>
      <c r="F223" s="36"/>
      <c r="G223" s="36"/>
      <c r="H223" s="28"/>
    </row>
    <row r="224" spans="1:8" ht="13.2">
      <c r="A224" s="35"/>
      <c r="B224" s="19" t="str">
        <f>IFERROR(VLOOKUP(A224, Tasks!A$89:E$133,2, FALSE), "")</f>
        <v/>
      </c>
      <c r="C224" s="19" t="str">
        <f>IFERROR(VLOOKUP(A224, Tasks!A$89:E$133,3, FALSE), "")</f>
        <v/>
      </c>
      <c r="D224" s="35"/>
      <c r="E224" s="15"/>
      <c r="F224" s="15"/>
      <c r="G224" s="15"/>
      <c r="H224" s="23"/>
    </row>
    <row r="225" spans="1:8" ht="13.2">
      <c r="A225" s="34"/>
      <c r="B225" s="24" t="str">
        <f>IFERROR(VLOOKUP(A225, Tasks!A$89:E$133,2, FALSE), "")</f>
        <v/>
      </c>
      <c r="C225" s="24" t="str">
        <f>IFERROR(VLOOKUP(A225, Tasks!A$89:E$133,3, FALSE), "")</f>
        <v/>
      </c>
      <c r="D225" s="34"/>
      <c r="E225" s="36"/>
      <c r="F225" s="36"/>
      <c r="G225" s="36"/>
      <c r="H225" s="28"/>
    </row>
    <row r="226" spans="1:8" ht="13.2">
      <c r="A226" s="35"/>
      <c r="B226" s="19" t="str">
        <f>IFERROR(VLOOKUP(A226, Tasks!A$89:E$133,2, FALSE), "")</f>
        <v/>
      </c>
      <c r="C226" s="19" t="str">
        <f>IFERROR(VLOOKUP(A226, Tasks!A$89:E$133,3, FALSE), "")</f>
        <v/>
      </c>
      <c r="D226" s="35"/>
      <c r="E226" s="15"/>
      <c r="F226" s="15"/>
      <c r="G226" s="15"/>
      <c r="H226" s="23"/>
    </row>
    <row r="227" spans="1:8" ht="13.2">
      <c r="A227" s="34"/>
      <c r="B227" s="24" t="str">
        <f>IFERROR(VLOOKUP(A227, Tasks!A$89:E$133,2, FALSE), "")</f>
        <v/>
      </c>
      <c r="C227" s="24" t="str">
        <f>IFERROR(VLOOKUP(A227, Tasks!A$89:E$133,3, FALSE), "")</f>
        <v/>
      </c>
      <c r="D227" s="34"/>
      <c r="E227" s="36"/>
      <c r="F227" s="36"/>
      <c r="G227" s="36"/>
      <c r="H227" s="28"/>
    </row>
    <row r="228" spans="1:8" ht="13.2">
      <c r="A228" s="35"/>
      <c r="B228" s="19" t="str">
        <f>IFERROR(VLOOKUP(A228, Tasks!A$89:E$133,2, FALSE), "")</f>
        <v/>
      </c>
      <c r="C228" s="19" t="str">
        <f>IFERROR(VLOOKUP(A228, Tasks!A$89:E$133,3, FALSE), "")</f>
        <v/>
      </c>
      <c r="D228" s="35"/>
      <c r="E228" s="15"/>
      <c r="F228" s="15"/>
      <c r="G228" s="15"/>
      <c r="H228" s="23"/>
    </row>
    <row r="229" spans="1:8" ht="13.2">
      <c r="A229" s="34"/>
      <c r="B229" s="24" t="str">
        <f>IFERROR(VLOOKUP(A229, Tasks!A$89:E$133,2, FALSE), "")</f>
        <v/>
      </c>
      <c r="C229" s="24" t="str">
        <f>IFERROR(VLOOKUP(A229, Tasks!A$89:E$133,3, FALSE), "")</f>
        <v/>
      </c>
      <c r="D229" s="34"/>
      <c r="E229" s="36"/>
      <c r="F229" s="36"/>
      <c r="G229" s="36"/>
      <c r="H229" s="28"/>
    </row>
    <row r="230" spans="1:8" ht="13.2">
      <c r="A230" s="35"/>
      <c r="B230" s="19" t="str">
        <f>IFERROR(VLOOKUP(A230, Tasks!A$89:E$133,2, FALSE), "")</f>
        <v/>
      </c>
      <c r="C230" s="19" t="str">
        <f>IFERROR(VLOOKUP(A230, Tasks!A$89:E$133,3, FALSE), "")</f>
        <v/>
      </c>
      <c r="D230" s="35"/>
      <c r="E230" s="15"/>
      <c r="F230" s="15"/>
      <c r="G230" s="15"/>
      <c r="H230" s="23"/>
    </row>
    <row r="231" spans="1:8" ht="13.2">
      <c r="A231" s="34"/>
      <c r="B231" s="24" t="str">
        <f>IFERROR(VLOOKUP(A231, Tasks!A$89:E$133,2, FALSE), "")</f>
        <v/>
      </c>
      <c r="C231" s="24" t="str">
        <f>IFERROR(VLOOKUP(A231, Tasks!A$89:E$133,3, FALSE), "")</f>
        <v/>
      </c>
      <c r="D231" s="34"/>
      <c r="E231" s="36"/>
      <c r="F231" s="36"/>
      <c r="G231" s="36"/>
      <c r="H231" s="28"/>
    </row>
    <row r="232" spans="1:8" ht="13.2">
      <c r="A232" s="35"/>
      <c r="B232" s="19" t="str">
        <f>IFERROR(VLOOKUP(A232, Tasks!A$89:E$133,2, FALSE), "")</f>
        <v/>
      </c>
      <c r="C232" s="19" t="str">
        <f>IFERROR(VLOOKUP(A232, Tasks!A$89:E$133,3, FALSE), "")</f>
        <v/>
      </c>
      <c r="D232" s="35"/>
      <c r="E232" s="15"/>
      <c r="F232" s="15"/>
      <c r="G232" s="15"/>
      <c r="H232" s="23"/>
    </row>
    <row r="233" spans="1:8" ht="13.2">
      <c r="A233" s="34"/>
      <c r="B233" s="24" t="str">
        <f>IFERROR(VLOOKUP(A233, Tasks!A$89:E$133,2, FALSE), "")</f>
        <v/>
      </c>
      <c r="C233" s="24" t="str">
        <f>IFERROR(VLOOKUP(A233, Tasks!A$89:E$133,3, FALSE), "")</f>
        <v/>
      </c>
      <c r="D233" s="34"/>
      <c r="E233" s="36"/>
      <c r="F233" s="36"/>
      <c r="G233" s="36"/>
      <c r="H233" s="28"/>
    </row>
    <row r="234" spans="1:8" ht="13.2">
      <c r="A234" s="35"/>
      <c r="B234" s="19" t="str">
        <f>IFERROR(VLOOKUP(A234, Tasks!A$89:E$133,2, FALSE), "")</f>
        <v/>
      </c>
      <c r="C234" s="19" t="str">
        <f>IFERROR(VLOOKUP(A234, Tasks!A$89:E$133,3, FALSE), "")</f>
        <v/>
      </c>
      <c r="D234" s="35"/>
      <c r="E234" s="15"/>
      <c r="F234" s="15"/>
      <c r="G234" s="15"/>
      <c r="H234" s="23"/>
    </row>
    <row r="235" spans="1:8" ht="13.2">
      <c r="A235" s="34"/>
      <c r="B235" s="24" t="str">
        <f>IFERROR(VLOOKUP(A235, Tasks!A$89:E$133,2, FALSE), "")</f>
        <v/>
      </c>
      <c r="C235" s="24" t="str">
        <f>IFERROR(VLOOKUP(A235, Tasks!A$89:E$133,3, FALSE), "")</f>
        <v/>
      </c>
      <c r="D235" s="34"/>
      <c r="E235" s="36"/>
      <c r="F235" s="36"/>
      <c r="G235" s="36"/>
      <c r="H235" s="28"/>
    </row>
    <row r="236" spans="1:8" ht="13.2">
      <c r="A236" s="35"/>
      <c r="B236" s="19" t="str">
        <f>IFERROR(VLOOKUP(A236, Tasks!A$89:E$133,2, FALSE), "")</f>
        <v/>
      </c>
      <c r="C236" s="19" t="str">
        <f>IFERROR(VLOOKUP(A236, Tasks!A$89:E$133,3, FALSE), "")</f>
        <v/>
      </c>
      <c r="D236" s="35"/>
      <c r="E236" s="15"/>
      <c r="F236" s="15"/>
      <c r="G236" s="15"/>
      <c r="H236" s="23"/>
    </row>
    <row r="237" spans="1:8" ht="13.2">
      <c r="A237" s="34"/>
      <c r="B237" s="24" t="str">
        <f>IFERROR(VLOOKUP(A237, Tasks!A$89:E$133,2, FALSE), "")</f>
        <v/>
      </c>
      <c r="C237" s="24" t="str">
        <f>IFERROR(VLOOKUP(A237, Tasks!A$89:E$133,3, FALSE), "")</f>
        <v/>
      </c>
      <c r="D237" s="34"/>
      <c r="E237" s="36"/>
      <c r="F237" s="36"/>
      <c r="G237" s="36"/>
      <c r="H237" s="28"/>
    </row>
    <row r="238" spans="1:8" ht="13.2">
      <c r="A238" s="35"/>
      <c r="B238" s="19" t="str">
        <f>IFERROR(VLOOKUP(A238, Tasks!A$89:E$133,2, FALSE), "")</f>
        <v/>
      </c>
      <c r="C238" s="19" t="str">
        <f>IFERROR(VLOOKUP(A238, Tasks!A$89:E$133,3, FALSE), "")</f>
        <v/>
      </c>
      <c r="D238" s="35"/>
      <c r="E238" s="15"/>
      <c r="F238" s="15"/>
      <c r="G238" s="15"/>
      <c r="H238" s="23"/>
    </row>
    <row r="239" spans="1:8" ht="13.2">
      <c r="A239" s="34"/>
      <c r="B239" s="24" t="str">
        <f>IFERROR(VLOOKUP(A239, Tasks!A$89:E$133,2, FALSE), "")</f>
        <v/>
      </c>
      <c r="C239" s="24" t="str">
        <f>IFERROR(VLOOKUP(A239, Tasks!A$89:E$133,3, FALSE), "")</f>
        <v/>
      </c>
      <c r="D239" s="34"/>
      <c r="E239" s="36"/>
      <c r="F239" s="36"/>
      <c r="G239" s="36"/>
      <c r="H239" s="28"/>
    </row>
    <row r="240" spans="1:8" ht="13.2">
      <c r="A240" s="35"/>
      <c r="B240" s="19" t="str">
        <f>IFERROR(VLOOKUP(A240, Tasks!A$89:E$133,2, FALSE), "")</f>
        <v/>
      </c>
      <c r="C240" s="19" t="str">
        <f>IFERROR(VLOOKUP(A240, Tasks!A$89:E$133,3, FALSE), "")</f>
        <v/>
      </c>
      <c r="D240" s="35"/>
      <c r="E240" s="15"/>
      <c r="F240" s="15"/>
      <c r="G240" s="15"/>
      <c r="H240" s="23"/>
    </row>
    <row r="241" spans="1:8" ht="13.2">
      <c r="A241" s="34"/>
      <c r="B241" s="24" t="str">
        <f>IFERROR(VLOOKUP(A241, Tasks!A$89:E$133,2, FALSE), "")</f>
        <v/>
      </c>
      <c r="C241" s="24" t="str">
        <f>IFERROR(VLOOKUP(A241, Tasks!A$89:E$133,3, FALSE), "")</f>
        <v/>
      </c>
      <c r="D241" s="34"/>
      <c r="E241" s="36"/>
      <c r="F241" s="36"/>
      <c r="G241" s="36"/>
      <c r="H241" s="28"/>
    </row>
    <row r="242" spans="1:8" ht="13.2">
      <c r="A242" s="35"/>
      <c r="B242" s="19" t="str">
        <f>IFERROR(VLOOKUP(A242, Tasks!A$89:E$133,2, FALSE), "")</f>
        <v/>
      </c>
      <c r="C242" s="19" t="str">
        <f>IFERROR(VLOOKUP(A242, Tasks!A$89:E$133,3, FALSE), "")</f>
        <v/>
      </c>
      <c r="D242" s="35"/>
      <c r="E242" s="15"/>
      <c r="F242" s="15"/>
      <c r="G242" s="15"/>
      <c r="H242" s="23"/>
    </row>
    <row r="243" spans="1:8" ht="13.2">
      <c r="A243" s="34"/>
      <c r="B243" s="24" t="str">
        <f>IFERROR(VLOOKUP(A243, Tasks!A$89:E$133,2, FALSE), "")</f>
        <v/>
      </c>
      <c r="C243" s="24" t="str">
        <f>IFERROR(VLOOKUP(A243, Tasks!A$89:E$133,3, FALSE), "")</f>
        <v/>
      </c>
      <c r="D243" s="34"/>
      <c r="E243" s="36"/>
      <c r="F243" s="36"/>
      <c r="G243" s="36"/>
      <c r="H243" s="28"/>
    </row>
    <row r="244" spans="1:8" ht="13.2">
      <c r="A244" s="35"/>
      <c r="B244" s="19" t="str">
        <f>IFERROR(VLOOKUP(A244, Tasks!A$89:E$133,2, FALSE), "")</f>
        <v/>
      </c>
      <c r="C244" s="19" t="str">
        <f>IFERROR(VLOOKUP(A244, Tasks!A$89:E$133,3, FALSE), "")</f>
        <v/>
      </c>
      <c r="D244" s="35"/>
      <c r="E244" s="15"/>
      <c r="F244" s="15"/>
      <c r="G244" s="15"/>
      <c r="H244" s="23"/>
    </row>
    <row r="245" spans="1:8" ht="13.2">
      <c r="A245" s="34"/>
      <c r="B245" s="24" t="str">
        <f>IFERROR(VLOOKUP(A245, Tasks!A$89:E$133,2, FALSE), "")</f>
        <v/>
      </c>
      <c r="C245" s="24" t="str">
        <f>IFERROR(VLOOKUP(A245, Tasks!A$89:E$133,3, FALSE), "")</f>
        <v/>
      </c>
      <c r="D245" s="34"/>
      <c r="E245" s="36"/>
      <c r="F245" s="36"/>
      <c r="G245" s="36"/>
      <c r="H245" s="28"/>
    </row>
    <row r="246" spans="1:8" ht="13.2">
      <c r="A246" s="35"/>
      <c r="B246" s="19" t="str">
        <f>IFERROR(VLOOKUP(A246, Tasks!A$89:E$133,2, FALSE), "")</f>
        <v/>
      </c>
      <c r="C246" s="19" t="str">
        <f>IFERROR(VLOOKUP(A246, Tasks!A$89:E$133,3, FALSE), "")</f>
        <v/>
      </c>
      <c r="D246" s="35"/>
      <c r="E246" s="15"/>
      <c r="F246" s="15"/>
      <c r="G246" s="15"/>
      <c r="H246" s="23"/>
    </row>
    <row r="247" spans="1:8" ht="13.2">
      <c r="A247" s="34"/>
      <c r="B247" s="24" t="str">
        <f>IFERROR(VLOOKUP(A247, Tasks!A$89:E$133,2, FALSE), "")</f>
        <v/>
      </c>
      <c r="C247" s="24" t="str">
        <f>IFERROR(VLOOKUP(A247, Tasks!A$89:E$133,3, FALSE), "")</f>
        <v/>
      </c>
      <c r="D247" s="34"/>
      <c r="E247" s="36"/>
      <c r="F247" s="36"/>
      <c r="G247" s="36"/>
      <c r="H247" s="28"/>
    </row>
    <row r="248" spans="1:8" ht="13.2">
      <c r="A248" s="35"/>
      <c r="B248" s="19" t="str">
        <f>IFERROR(VLOOKUP(A248, Tasks!A$89:E$133,2, FALSE), "")</f>
        <v/>
      </c>
      <c r="C248" s="19" t="str">
        <f>IFERROR(VLOOKUP(A248, Tasks!A$89:E$133,3, FALSE), "")</f>
        <v/>
      </c>
      <c r="D248" s="35"/>
      <c r="E248" s="15"/>
      <c r="F248" s="15"/>
      <c r="G248" s="15"/>
      <c r="H248" s="23"/>
    </row>
    <row r="249" spans="1:8" ht="13.2">
      <c r="A249" s="34"/>
      <c r="B249" s="24" t="str">
        <f>IFERROR(VLOOKUP(A249, Tasks!A$89:E$133,2, FALSE), "")</f>
        <v/>
      </c>
      <c r="C249" s="24" t="str">
        <f>IFERROR(VLOOKUP(A249, Tasks!A$89:E$133,3, FALSE), "")</f>
        <v/>
      </c>
      <c r="D249" s="34"/>
      <c r="E249" s="36"/>
      <c r="F249" s="36"/>
      <c r="G249" s="36"/>
      <c r="H249" s="28"/>
    </row>
    <row r="250" spans="1:8" ht="13.2">
      <c r="A250" s="35"/>
      <c r="B250" s="19" t="str">
        <f>IFERROR(VLOOKUP(A250, Tasks!A$89:E$133,2, FALSE), "")</f>
        <v/>
      </c>
      <c r="C250" s="19" t="str">
        <f>IFERROR(VLOOKUP(A250, Tasks!A$89:E$133,3, FALSE), "")</f>
        <v/>
      </c>
      <c r="D250" s="35"/>
      <c r="E250" s="15"/>
      <c r="F250" s="15"/>
      <c r="G250" s="15"/>
      <c r="H250" s="23"/>
    </row>
    <row r="251" spans="1:8" ht="13.2">
      <c r="A251" s="34"/>
      <c r="B251" s="24" t="str">
        <f>IFERROR(VLOOKUP(A251, Tasks!A$89:E$133,2, FALSE), "")</f>
        <v/>
      </c>
      <c r="C251" s="24" t="str">
        <f>IFERROR(VLOOKUP(A251, Tasks!A$89:E$133,3, FALSE), "")</f>
        <v/>
      </c>
      <c r="D251" s="34"/>
      <c r="E251" s="36"/>
      <c r="F251" s="36"/>
      <c r="G251" s="36"/>
      <c r="H251" s="28"/>
    </row>
    <row r="252" spans="1:8" ht="13.2">
      <c r="A252" s="35"/>
      <c r="B252" s="19" t="str">
        <f>IFERROR(VLOOKUP(A252, Tasks!A$89:E$133,2, FALSE), "")</f>
        <v/>
      </c>
      <c r="C252" s="19" t="str">
        <f>IFERROR(VLOOKUP(A252, Tasks!A$89:E$133,3, FALSE), "")</f>
        <v/>
      </c>
      <c r="D252" s="35"/>
      <c r="E252" s="15"/>
      <c r="F252" s="15"/>
      <c r="G252" s="15"/>
      <c r="H252" s="23"/>
    </row>
    <row r="253" spans="1:8" ht="13.2">
      <c r="A253" s="34"/>
      <c r="B253" s="24" t="str">
        <f>IFERROR(VLOOKUP(A253, Tasks!A$89:E$133,2, FALSE), "")</f>
        <v/>
      </c>
      <c r="C253" s="34"/>
      <c r="D253" s="34"/>
      <c r="E253" s="36"/>
      <c r="F253" s="36"/>
      <c r="G253" s="36"/>
      <c r="H253" s="28"/>
    </row>
    <row r="254" spans="1:8" ht="13.2">
      <c r="A254" s="35"/>
      <c r="B254" s="19" t="str">
        <f>IFERROR(VLOOKUP(A254, Tasks!A$89:E$133,2, FALSE), "")</f>
        <v/>
      </c>
      <c r="C254" s="35"/>
      <c r="D254" s="35"/>
      <c r="E254" s="15"/>
      <c r="F254" s="15"/>
      <c r="G254" s="15"/>
      <c r="H254" s="23"/>
    </row>
    <row r="255" spans="1:8" ht="13.2">
      <c r="A255" s="34"/>
      <c r="B255" s="24" t="str">
        <f>IFERROR(VLOOKUP(A255, Tasks!A$89:E$133,2, FALSE), "")</f>
        <v/>
      </c>
      <c r="C255" s="34"/>
      <c r="D255" s="34"/>
      <c r="E255" s="36"/>
      <c r="F255" s="36"/>
      <c r="G255" s="36"/>
      <c r="H255" s="28"/>
    </row>
    <row r="256" spans="1:8" ht="13.2">
      <c r="A256" s="35"/>
      <c r="B256" s="19" t="str">
        <f>IFERROR(VLOOKUP(A256, Tasks!A$89:E$133,2, FALSE), "")</f>
        <v/>
      </c>
      <c r="C256" s="35"/>
      <c r="D256" s="35"/>
      <c r="E256" s="15"/>
      <c r="F256" s="15"/>
      <c r="G256" s="15"/>
      <c r="H256" s="23"/>
    </row>
    <row r="257" spans="1:8" ht="13.2">
      <c r="A257" s="34"/>
      <c r="B257" s="24" t="str">
        <f>IFERROR(VLOOKUP(A257, Tasks!A$89:E$133,2, FALSE), "")</f>
        <v/>
      </c>
      <c r="C257" s="34"/>
      <c r="D257" s="34"/>
      <c r="E257" s="36"/>
      <c r="F257" s="36"/>
      <c r="G257" s="36"/>
      <c r="H257" s="28"/>
    </row>
    <row r="258" spans="1:8" ht="13.2">
      <c r="A258" s="35"/>
      <c r="B258" s="19" t="str">
        <f>IFERROR(VLOOKUP(A258, Tasks!A$89:E$133,2, FALSE), "")</f>
        <v/>
      </c>
      <c r="C258" s="35"/>
      <c r="D258" s="35"/>
      <c r="E258" s="15"/>
      <c r="F258" s="15"/>
      <c r="G258" s="15"/>
      <c r="H258" s="23"/>
    </row>
    <row r="259" spans="1:8" ht="13.2">
      <c r="A259" s="34"/>
      <c r="B259" s="24" t="str">
        <f>IFERROR(VLOOKUP(A259, Tasks!A$89:E$133,2, FALSE), "")</f>
        <v/>
      </c>
      <c r="C259" s="34"/>
      <c r="D259" s="34"/>
      <c r="E259" s="36"/>
      <c r="F259" s="36"/>
      <c r="G259" s="36"/>
      <c r="H259" s="28"/>
    </row>
    <row r="260" spans="1:8" ht="13.2">
      <c r="A260" s="35"/>
      <c r="B260" s="19" t="str">
        <f>IFERROR(VLOOKUP(A260, Tasks!A$89:E$133,2, FALSE), "")</f>
        <v/>
      </c>
      <c r="C260" s="35"/>
      <c r="D260" s="35"/>
      <c r="E260" s="15"/>
      <c r="F260" s="15"/>
      <c r="G260" s="15"/>
      <c r="H260" s="23"/>
    </row>
    <row r="261" spans="1:8" ht="13.2">
      <c r="A261" s="34"/>
      <c r="B261" s="24" t="str">
        <f>IFERROR(VLOOKUP(A261, Tasks!A$89:E$133,2, FALSE), "")</f>
        <v/>
      </c>
      <c r="C261" s="34"/>
      <c r="D261" s="34"/>
      <c r="E261" s="36"/>
      <c r="F261" s="36"/>
      <c r="G261" s="36"/>
      <c r="H261" s="28"/>
    </row>
    <row r="262" spans="1:8" ht="13.2">
      <c r="A262" s="35"/>
      <c r="B262" s="19" t="str">
        <f>IFERROR(VLOOKUP(A262, Tasks!A$89:E$133,2, FALSE), "")</f>
        <v/>
      </c>
      <c r="C262" s="35"/>
      <c r="D262" s="35"/>
      <c r="E262" s="15"/>
      <c r="F262" s="15"/>
      <c r="G262" s="15"/>
      <c r="H262" s="23"/>
    </row>
    <row r="263" spans="1:8" ht="13.2">
      <c r="A263" s="34"/>
      <c r="B263" s="24" t="str">
        <f>IFERROR(VLOOKUP(A263, Tasks!A$89:E$133,2, FALSE), "")</f>
        <v/>
      </c>
      <c r="C263" s="34"/>
      <c r="D263" s="34"/>
      <c r="E263" s="36"/>
      <c r="F263" s="36"/>
      <c r="G263" s="36"/>
      <c r="H263" s="28"/>
    </row>
    <row r="264" spans="1:8" ht="13.2">
      <c r="A264" s="35"/>
      <c r="B264" s="19" t="str">
        <f>IFERROR(VLOOKUP(A264, Tasks!A$89:E$133,2, FALSE), "")</f>
        <v/>
      </c>
      <c r="C264" s="35"/>
      <c r="D264" s="35"/>
      <c r="E264" s="15"/>
      <c r="F264" s="15"/>
      <c r="G264" s="15"/>
      <c r="H264" s="23"/>
    </row>
    <row r="265" spans="1:8" ht="13.2">
      <c r="A265" s="34"/>
      <c r="B265" s="24" t="str">
        <f>IFERROR(VLOOKUP(A265, Tasks!A$89:E$133,2, FALSE), "")</f>
        <v/>
      </c>
      <c r="C265" s="34"/>
      <c r="D265" s="34"/>
      <c r="E265" s="36"/>
      <c r="F265" s="36"/>
      <c r="G265" s="36"/>
      <c r="H265" s="28"/>
    </row>
    <row r="266" spans="1:8" ht="13.2">
      <c r="A266" s="35"/>
      <c r="B266" s="19" t="str">
        <f>IFERROR(VLOOKUP(A266, Tasks!A$89:E$133,2, FALSE), "")</f>
        <v/>
      </c>
      <c r="C266" s="35"/>
      <c r="D266" s="35"/>
      <c r="E266" s="15"/>
      <c r="F266" s="15"/>
      <c r="G266" s="15"/>
      <c r="H266" s="23"/>
    </row>
    <row r="267" spans="1:8" ht="13.2">
      <c r="A267" s="34"/>
      <c r="B267" s="24" t="str">
        <f>IFERROR(VLOOKUP(A267, Tasks!A$89:E$133,2, FALSE), "")</f>
        <v/>
      </c>
      <c r="C267" s="34"/>
      <c r="D267" s="34"/>
      <c r="E267" s="36"/>
      <c r="F267" s="36"/>
      <c r="G267" s="36"/>
      <c r="H267" s="28"/>
    </row>
    <row r="268" spans="1:8" ht="13.2">
      <c r="A268" s="35"/>
      <c r="B268" s="19" t="str">
        <f>IFERROR(VLOOKUP(A268, Tasks!A$89:E$133,2, FALSE), "")</f>
        <v/>
      </c>
      <c r="C268" s="35"/>
      <c r="D268" s="35"/>
      <c r="E268" s="15"/>
      <c r="F268" s="15"/>
      <c r="G268" s="15"/>
      <c r="H268" s="23"/>
    </row>
    <row r="269" spans="1:8" ht="13.2">
      <c r="A269" s="34"/>
      <c r="B269" s="24" t="str">
        <f>IFERROR(VLOOKUP(A269, Tasks!A$89:E$133,2, FALSE), "")</f>
        <v/>
      </c>
      <c r="C269" s="34"/>
      <c r="D269" s="34"/>
      <c r="E269" s="36"/>
      <c r="F269" s="36"/>
      <c r="G269" s="36"/>
      <c r="H269" s="28"/>
    </row>
    <row r="270" spans="1:8" ht="13.2">
      <c r="A270" s="35"/>
      <c r="B270" s="19" t="str">
        <f>IFERROR(VLOOKUP(A270, Tasks!A$89:E$133,2, FALSE), "")</f>
        <v/>
      </c>
      <c r="C270" s="35"/>
      <c r="D270" s="35"/>
      <c r="E270" s="15"/>
      <c r="F270" s="15"/>
      <c r="G270" s="15"/>
      <c r="H270" s="23"/>
    </row>
    <row r="271" spans="1:8" ht="13.2">
      <c r="A271" s="34"/>
      <c r="B271" s="24" t="str">
        <f>IFERROR(VLOOKUP(A271, Tasks!A$89:E$133,2, FALSE), "")</f>
        <v/>
      </c>
      <c r="C271" s="34"/>
      <c r="D271" s="34"/>
      <c r="E271" s="36"/>
      <c r="F271" s="36"/>
      <c r="G271" s="36"/>
      <c r="H271" s="28"/>
    </row>
    <row r="272" spans="1:8" ht="13.2">
      <c r="A272" s="35"/>
      <c r="B272" s="19" t="str">
        <f>IFERROR(VLOOKUP(A272, Tasks!A$89:E$133,2, FALSE), "")</f>
        <v/>
      </c>
      <c r="C272" s="35"/>
      <c r="D272" s="35"/>
      <c r="E272" s="15"/>
      <c r="F272" s="15"/>
      <c r="G272" s="15"/>
      <c r="H272" s="23"/>
    </row>
    <row r="273" spans="1:8" ht="13.2">
      <c r="A273" s="34"/>
      <c r="B273" s="24" t="str">
        <f>IFERROR(VLOOKUP(A273, Tasks!A$89:E$133,2, FALSE), "")</f>
        <v/>
      </c>
      <c r="C273" s="34"/>
      <c r="D273" s="34"/>
      <c r="E273" s="36"/>
      <c r="F273" s="36"/>
      <c r="G273" s="36"/>
      <c r="H273" s="28"/>
    </row>
    <row r="274" spans="1:8" ht="13.2">
      <c r="A274" s="35"/>
      <c r="B274" s="19" t="str">
        <f>IFERROR(VLOOKUP(A274, Tasks!A$89:E$133,2, FALSE), "")</f>
        <v/>
      </c>
      <c r="C274" s="35"/>
      <c r="D274" s="35"/>
      <c r="E274" s="15"/>
      <c r="F274" s="15"/>
      <c r="G274" s="15"/>
      <c r="H274" s="23"/>
    </row>
    <row r="275" spans="1:8" ht="13.2">
      <c r="A275" s="34"/>
      <c r="B275" s="24" t="str">
        <f>IFERROR(VLOOKUP(A275, Tasks!A$89:E$133,2, FALSE), "")</f>
        <v/>
      </c>
      <c r="C275" s="34"/>
      <c r="D275" s="34"/>
      <c r="E275" s="36"/>
      <c r="F275" s="36"/>
      <c r="G275" s="36"/>
      <c r="H275" s="28"/>
    </row>
    <row r="276" spans="1:8" ht="13.2">
      <c r="A276" s="35"/>
      <c r="B276" s="19" t="str">
        <f>IFERROR(VLOOKUP(A276, Tasks!A$89:E$133,2, FALSE), "")</f>
        <v/>
      </c>
      <c r="C276" s="35"/>
      <c r="D276" s="35"/>
      <c r="E276" s="15"/>
      <c r="F276" s="15"/>
      <c r="G276" s="15"/>
      <c r="H276" s="23"/>
    </row>
    <row r="277" spans="1:8" ht="13.2">
      <c r="A277" s="34"/>
      <c r="B277" s="24" t="str">
        <f>IFERROR(VLOOKUP(A277, Tasks!A$89:E$133,2, FALSE), "")</f>
        <v/>
      </c>
      <c r="C277" s="34"/>
      <c r="D277" s="34"/>
      <c r="E277" s="36"/>
      <c r="F277" s="36"/>
      <c r="G277" s="36"/>
      <c r="H277" s="28"/>
    </row>
    <row r="278" spans="1:8" ht="13.2">
      <c r="A278" s="35"/>
      <c r="B278" s="19" t="str">
        <f>IFERROR(VLOOKUP(A278, Tasks!A$89:E$133,2, FALSE), "")</f>
        <v/>
      </c>
      <c r="C278" s="35"/>
      <c r="D278" s="35"/>
      <c r="E278" s="15"/>
      <c r="F278" s="15"/>
      <c r="G278" s="15"/>
      <c r="H278" s="23"/>
    </row>
    <row r="279" spans="1:8" ht="13.2">
      <c r="A279" s="34"/>
      <c r="B279" s="24" t="str">
        <f>IFERROR(VLOOKUP(A279, Tasks!A$89:E$133,2, FALSE), "")</f>
        <v/>
      </c>
      <c r="C279" s="34"/>
      <c r="D279" s="34"/>
      <c r="E279" s="36"/>
      <c r="F279" s="36"/>
      <c r="G279" s="36"/>
      <c r="H279" s="28"/>
    </row>
    <row r="280" spans="1:8" ht="13.2">
      <c r="A280" s="35"/>
      <c r="B280" s="19" t="str">
        <f>IFERROR(VLOOKUP(A280, Tasks!A$89:E$133,2, FALSE), "")</f>
        <v/>
      </c>
      <c r="C280" s="35"/>
      <c r="D280" s="35"/>
      <c r="E280" s="15"/>
      <c r="F280" s="15"/>
      <c r="G280" s="15"/>
      <c r="H280" s="23"/>
    </row>
    <row r="281" spans="1:8" ht="13.2">
      <c r="A281" s="34"/>
      <c r="B281" s="24" t="str">
        <f>IFERROR(VLOOKUP(A281, Tasks!A$89:E$133,2, FALSE), "")</f>
        <v/>
      </c>
      <c r="C281" s="34"/>
      <c r="D281" s="34"/>
      <c r="E281" s="36"/>
      <c r="F281" s="36"/>
      <c r="G281" s="36"/>
      <c r="H281" s="28"/>
    </row>
    <row r="282" spans="1:8" ht="13.2">
      <c r="A282" s="35"/>
      <c r="B282" s="19" t="str">
        <f>IFERROR(VLOOKUP(A282, Tasks!A$89:E$133,2, FALSE), "")</f>
        <v/>
      </c>
      <c r="C282" s="35"/>
      <c r="D282" s="35"/>
      <c r="E282" s="15"/>
      <c r="F282" s="15"/>
      <c r="G282" s="15"/>
      <c r="H282" s="23"/>
    </row>
    <row r="283" spans="1:8" ht="13.2">
      <c r="A283" s="34"/>
      <c r="B283" s="24" t="str">
        <f>IFERROR(VLOOKUP(A283, Tasks!A$89:E$133,2, FALSE), "")</f>
        <v/>
      </c>
      <c r="C283" s="34"/>
      <c r="D283" s="34"/>
      <c r="E283" s="36"/>
      <c r="F283" s="36"/>
      <c r="G283" s="36"/>
      <c r="H283" s="28"/>
    </row>
    <row r="284" spans="1:8" ht="13.2">
      <c r="A284" s="35"/>
      <c r="B284" s="19" t="str">
        <f>IFERROR(VLOOKUP(A284, Tasks!A$89:E$133,2, FALSE), "")</f>
        <v/>
      </c>
      <c r="C284" s="35"/>
      <c r="D284" s="35"/>
      <c r="E284" s="15"/>
      <c r="F284" s="15"/>
      <c r="G284" s="15"/>
      <c r="H284" s="23"/>
    </row>
    <row r="285" spans="1:8" ht="13.2">
      <c r="A285" s="34"/>
      <c r="B285" s="24" t="str">
        <f>IFERROR(VLOOKUP(A285, Tasks!A$89:E$133,2, FALSE), "")</f>
        <v/>
      </c>
      <c r="C285" s="34"/>
      <c r="D285" s="34"/>
      <c r="E285" s="36"/>
      <c r="F285" s="36"/>
      <c r="G285" s="36"/>
      <c r="H285" s="28"/>
    </row>
    <row r="286" spans="1:8" ht="13.2">
      <c r="A286" s="35"/>
      <c r="B286" s="19" t="str">
        <f>IFERROR(VLOOKUP(A286, Tasks!A$89:E$133,2, FALSE), "")</f>
        <v/>
      </c>
      <c r="C286" s="35"/>
      <c r="D286" s="35"/>
      <c r="E286" s="15"/>
      <c r="F286" s="15"/>
      <c r="G286" s="15"/>
      <c r="H286" s="23"/>
    </row>
    <row r="287" spans="1:8" ht="13.2">
      <c r="A287" s="34"/>
      <c r="B287" s="24" t="str">
        <f>IFERROR(VLOOKUP(A287, Tasks!A$89:E$133,2, FALSE), "")</f>
        <v/>
      </c>
      <c r="C287" s="34"/>
      <c r="D287" s="34"/>
      <c r="E287" s="36"/>
      <c r="F287" s="36"/>
      <c r="G287" s="36"/>
      <c r="H287" s="28"/>
    </row>
    <row r="288" spans="1:8" ht="13.2">
      <c r="A288" s="35"/>
      <c r="B288" s="19" t="str">
        <f>IFERROR(VLOOKUP(A288, Tasks!A$89:E$133,2, FALSE), "")</f>
        <v/>
      </c>
      <c r="C288" s="35"/>
      <c r="D288" s="35"/>
      <c r="E288" s="15"/>
      <c r="F288" s="15"/>
      <c r="G288" s="15"/>
      <c r="H288" s="23"/>
    </row>
    <row r="289" spans="1:8" ht="13.2">
      <c r="A289" s="34"/>
      <c r="B289" s="24" t="str">
        <f>IFERROR(VLOOKUP(A289, Tasks!A$89:E$133,2, FALSE), "")</f>
        <v/>
      </c>
      <c r="C289" s="34"/>
      <c r="D289" s="34"/>
      <c r="E289" s="36"/>
      <c r="F289" s="36"/>
      <c r="G289" s="36"/>
      <c r="H289" s="28"/>
    </row>
    <row r="290" spans="1:8" ht="13.2">
      <c r="A290" s="35"/>
      <c r="B290" s="19" t="str">
        <f>IFERROR(VLOOKUP(A290, Tasks!A$89:E$133,2, FALSE), "")</f>
        <v/>
      </c>
      <c r="C290" s="35"/>
      <c r="D290" s="35"/>
      <c r="E290" s="15"/>
      <c r="F290" s="15"/>
      <c r="G290" s="15"/>
      <c r="H290" s="23"/>
    </row>
    <row r="291" spans="1:8" ht="13.2">
      <c r="A291" s="34"/>
      <c r="B291" s="24" t="str">
        <f>IFERROR(VLOOKUP(A291, Tasks!A$89:E$133,2, FALSE), "")</f>
        <v/>
      </c>
      <c r="C291" s="34"/>
      <c r="D291" s="34"/>
      <c r="E291" s="36"/>
      <c r="F291" s="36"/>
      <c r="G291" s="36"/>
      <c r="H291" s="28"/>
    </row>
    <row r="292" spans="1:8" ht="13.2">
      <c r="A292" s="35"/>
      <c r="B292" s="19" t="str">
        <f>IFERROR(VLOOKUP(A292, Tasks!A$89:E$133,2, FALSE), "")</f>
        <v/>
      </c>
      <c r="C292" s="35"/>
      <c r="D292" s="35"/>
      <c r="E292" s="15"/>
      <c r="F292" s="15"/>
      <c r="G292" s="15"/>
      <c r="H292" s="23"/>
    </row>
    <row r="293" spans="1:8" ht="13.2">
      <c r="A293" s="34"/>
      <c r="B293" s="24" t="str">
        <f>IFERROR(VLOOKUP(A293, Tasks!A$89:E$133,2, FALSE), "")</f>
        <v/>
      </c>
      <c r="C293" s="34"/>
      <c r="D293" s="34"/>
      <c r="E293" s="36"/>
      <c r="F293" s="36"/>
      <c r="G293" s="36"/>
      <c r="H293" s="28"/>
    </row>
    <row r="294" spans="1:8" ht="13.2">
      <c r="A294" s="35"/>
      <c r="B294" s="19" t="str">
        <f>IFERROR(VLOOKUP(A294, Tasks!A$89:E$133,2, FALSE), "")</f>
        <v/>
      </c>
      <c r="C294" s="35"/>
      <c r="D294" s="35"/>
      <c r="E294" s="15"/>
      <c r="F294" s="15"/>
      <c r="G294" s="15"/>
      <c r="H294" s="23"/>
    </row>
    <row r="295" spans="1:8" ht="13.2">
      <c r="A295" s="34"/>
      <c r="B295" s="24" t="str">
        <f>IFERROR(VLOOKUP(A295, Tasks!A$89:E$133,2, FALSE), "")</f>
        <v/>
      </c>
      <c r="C295" s="34"/>
      <c r="D295" s="34"/>
      <c r="E295" s="36"/>
      <c r="F295" s="36"/>
      <c r="G295" s="36"/>
      <c r="H295" s="28"/>
    </row>
    <row r="296" spans="1:8" ht="13.2">
      <c r="A296" s="35"/>
      <c r="B296" s="19" t="str">
        <f>IFERROR(VLOOKUP(A296, Tasks!A$89:E$133,2, FALSE), "")</f>
        <v/>
      </c>
      <c r="C296" s="35"/>
      <c r="D296" s="35"/>
      <c r="E296" s="15"/>
      <c r="F296" s="15"/>
      <c r="G296" s="15"/>
      <c r="H296" s="23"/>
    </row>
    <row r="297" spans="1:8" ht="13.2">
      <c r="A297" s="34"/>
      <c r="B297" s="24" t="str">
        <f>IFERROR(VLOOKUP(A297, Tasks!A$89:E$133,2, FALSE), "")</f>
        <v/>
      </c>
      <c r="C297" s="34"/>
      <c r="D297" s="34"/>
      <c r="E297" s="36"/>
      <c r="F297" s="36"/>
      <c r="G297" s="36"/>
      <c r="H297" s="28"/>
    </row>
    <row r="298" spans="1:8" ht="13.2">
      <c r="A298" s="35"/>
      <c r="B298" s="19" t="str">
        <f>IFERROR(VLOOKUP(A298, Tasks!A$89:E$133,2, FALSE), "")</f>
        <v/>
      </c>
      <c r="C298" s="35"/>
      <c r="D298" s="35"/>
      <c r="E298" s="15"/>
      <c r="F298" s="15"/>
      <c r="G298" s="15"/>
      <c r="H298" s="23"/>
    </row>
    <row r="299" spans="1:8" ht="13.2">
      <c r="A299" s="34"/>
      <c r="B299" s="24" t="str">
        <f>IFERROR(VLOOKUP(A299, Tasks!A$89:E$133,2, FALSE), "")</f>
        <v/>
      </c>
      <c r="C299" s="34"/>
      <c r="D299" s="34"/>
      <c r="E299" s="36"/>
      <c r="F299" s="36"/>
      <c r="G299" s="36"/>
      <c r="H299" s="28"/>
    </row>
    <row r="300" spans="1:8" ht="13.2">
      <c r="A300" s="35"/>
      <c r="B300" s="19" t="str">
        <f>IFERROR(VLOOKUP(A300, Tasks!A$89:E$133,2, FALSE), "")</f>
        <v/>
      </c>
      <c r="C300" s="35"/>
      <c r="D300" s="35"/>
      <c r="E300" s="15"/>
      <c r="F300" s="15"/>
      <c r="G300" s="15"/>
      <c r="H300" s="23"/>
    </row>
    <row r="301" spans="1:8" ht="13.2">
      <c r="A301" s="34"/>
      <c r="B301" s="24" t="str">
        <f>IFERROR(VLOOKUP(A301, Tasks!A$89:E$133,2, FALSE), "")</f>
        <v/>
      </c>
      <c r="C301" s="34"/>
      <c r="D301" s="34"/>
      <c r="E301" s="36"/>
      <c r="F301" s="36"/>
      <c r="G301" s="36"/>
      <c r="H301" s="28"/>
    </row>
    <row r="302" spans="1:8" ht="13.2">
      <c r="A302" s="35"/>
      <c r="B302" s="19" t="str">
        <f>IFERROR(VLOOKUP(A302, Tasks!A$89:E$133,2, FALSE), "")</f>
        <v/>
      </c>
      <c r="C302" s="35"/>
      <c r="D302" s="35"/>
      <c r="E302" s="15"/>
      <c r="F302" s="15"/>
      <c r="G302" s="15"/>
      <c r="H302" s="23"/>
    </row>
    <row r="303" spans="1:8" ht="13.2">
      <c r="A303" s="34"/>
      <c r="B303" s="24" t="str">
        <f>IFERROR(VLOOKUP(A303, Tasks!A$89:E$133,2, FALSE), "")</f>
        <v/>
      </c>
      <c r="C303" s="34"/>
      <c r="D303" s="34"/>
      <c r="E303" s="36"/>
      <c r="F303" s="36"/>
      <c r="G303" s="36"/>
      <c r="H303" s="28"/>
    </row>
    <row r="304" spans="1:8" ht="13.2">
      <c r="A304" s="35"/>
      <c r="B304" s="19" t="str">
        <f>IFERROR(VLOOKUP(A304, Tasks!A$89:E$133,2, FALSE), "")</f>
        <v/>
      </c>
      <c r="C304" s="35"/>
      <c r="D304" s="35"/>
      <c r="E304" s="15"/>
      <c r="F304" s="15"/>
      <c r="G304" s="15"/>
      <c r="H304" s="23"/>
    </row>
    <row r="305" spans="1:8" ht="13.2">
      <c r="A305" s="34"/>
      <c r="B305" s="24" t="str">
        <f>IFERROR(VLOOKUP(A305, Tasks!A$89:E$133,2, FALSE), "")</f>
        <v/>
      </c>
      <c r="C305" s="34"/>
      <c r="D305" s="34"/>
      <c r="E305" s="36"/>
      <c r="F305" s="36"/>
      <c r="G305" s="36"/>
      <c r="H305" s="28"/>
    </row>
    <row r="306" spans="1:8" ht="13.2">
      <c r="A306" s="35"/>
      <c r="B306" s="19" t="str">
        <f>IFERROR(VLOOKUP(A306, Tasks!A$89:E$133,2, FALSE), "")</f>
        <v/>
      </c>
      <c r="C306" s="35"/>
      <c r="D306" s="35"/>
      <c r="E306" s="15"/>
      <c r="F306" s="15"/>
      <c r="G306" s="15"/>
      <c r="H306" s="23"/>
    </row>
    <row r="307" spans="1:8" ht="13.2">
      <c r="A307" s="34"/>
      <c r="B307" s="24" t="str">
        <f>IFERROR(VLOOKUP(A307, Tasks!A$89:E$133,2, FALSE), "")</f>
        <v/>
      </c>
      <c r="C307" s="34"/>
      <c r="D307" s="34"/>
      <c r="E307" s="36"/>
      <c r="F307" s="36"/>
      <c r="G307" s="36"/>
      <c r="H307" s="28"/>
    </row>
    <row r="308" spans="1:8" ht="13.2">
      <c r="A308" s="35"/>
      <c r="B308" s="19" t="str">
        <f>IFERROR(VLOOKUP(A308, Tasks!A$89:E$133,2, FALSE), "")</f>
        <v/>
      </c>
      <c r="C308" s="35"/>
      <c r="D308" s="35"/>
      <c r="E308" s="15"/>
      <c r="F308" s="15"/>
      <c r="G308" s="15"/>
      <c r="H308" s="23"/>
    </row>
    <row r="309" spans="1:8" ht="13.2">
      <c r="A309" s="34"/>
      <c r="B309" s="24" t="str">
        <f>IFERROR(VLOOKUP(A309, Tasks!A$89:E$133,2, FALSE), "")</f>
        <v/>
      </c>
      <c r="C309" s="34"/>
      <c r="D309" s="34"/>
      <c r="E309" s="36"/>
      <c r="F309" s="36"/>
      <c r="G309" s="36"/>
      <c r="H309" s="28"/>
    </row>
    <row r="310" spans="1:8" ht="13.2">
      <c r="A310" s="35"/>
      <c r="B310" s="19" t="str">
        <f>IFERROR(VLOOKUP(A310, Tasks!A$89:E$133,2, FALSE), "")</f>
        <v/>
      </c>
      <c r="C310" s="35"/>
      <c r="D310" s="35"/>
      <c r="E310" s="15"/>
      <c r="F310" s="15"/>
      <c r="G310" s="15"/>
      <c r="H310" s="23"/>
    </row>
    <row r="311" spans="1:8" ht="13.2">
      <c r="A311" s="34"/>
      <c r="B311" s="24" t="str">
        <f>IFERROR(VLOOKUP(A311, Tasks!A$89:E$133,2, FALSE), "")</f>
        <v/>
      </c>
      <c r="C311" s="34"/>
      <c r="D311" s="34"/>
      <c r="E311" s="36"/>
      <c r="F311" s="36"/>
      <c r="G311" s="36"/>
      <c r="H311" s="28"/>
    </row>
    <row r="312" spans="1:8" ht="13.2">
      <c r="A312" s="35"/>
      <c r="B312" s="19" t="str">
        <f>IFERROR(VLOOKUP(A312, Tasks!A$89:E$133,2, FALSE), "")</f>
        <v/>
      </c>
      <c r="C312" s="35"/>
      <c r="D312" s="35"/>
      <c r="E312" s="15"/>
      <c r="F312" s="15"/>
      <c r="G312" s="15"/>
      <c r="H312" s="23"/>
    </row>
    <row r="313" spans="1:8" ht="13.2">
      <c r="A313" s="34"/>
      <c r="B313" s="24" t="str">
        <f>IFERROR(VLOOKUP(A313, Tasks!A$89:E$133,2, FALSE), "")</f>
        <v/>
      </c>
      <c r="C313" s="34"/>
      <c r="D313" s="34"/>
      <c r="E313" s="36"/>
      <c r="F313" s="36"/>
      <c r="G313" s="36"/>
      <c r="H313" s="28"/>
    </row>
    <row r="314" spans="1:8" ht="13.2">
      <c r="A314" s="35"/>
      <c r="B314" s="19" t="str">
        <f>IFERROR(VLOOKUP(A314, Tasks!A$89:E$133,2, FALSE), "")</f>
        <v/>
      </c>
      <c r="C314" s="35"/>
      <c r="D314" s="35"/>
      <c r="E314" s="15"/>
      <c r="F314" s="15"/>
      <c r="G314" s="15"/>
      <c r="H314" s="23"/>
    </row>
    <row r="315" spans="1:8" ht="13.2">
      <c r="A315" s="34"/>
      <c r="B315" s="24" t="str">
        <f>IFERROR(VLOOKUP(A315, Tasks!A$89:E$133,2, FALSE), "")</f>
        <v/>
      </c>
      <c r="C315" s="34"/>
      <c r="D315" s="34"/>
      <c r="E315" s="36"/>
      <c r="F315" s="36"/>
      <c r="G315" s="36"/>
      <c r="H315" s="28"/>
    </row>
    <row r="316" spans="1:8" ht="13.2">
      <c r="A316" s="35"/>
      <c r="B316" s="19" t="str">
        <f>IFERROR(VLOOKUP(A316, Tasks!A$89:E$133,2, FALSE), "")</f>
        <v/>
      </c>
      <c r="C316" s="35"/>
      <c r="D316" s="35"/>
      <c r="E316" s="15"/>
      <c r="F316" s="15"/>
      <c r="G316" s="15"/>
      <c r="H316" s="23"/>
    </row>
    <row r="317" spans="1:8" ht="13.2">
      <c r="A317" s="34"/>
      <c r="B317" s="24" t="str">
        <f>IFERROR(VLOOKUP(A317, Tasks!A$89:E$133,2, FALSE), "")</f>
        <v/>
      </c>
      <c r="C317" s="34"/>
      <c r="D317" s="34"/>
      <c r="E317" s="36"/>
      <c r="F317" s="36"/>
      <c r="G317" s="36"/>
      <c r="H317" s="28"/>
    </row>
    <row r="318" spans="1:8" ht="13.2">
      <c r="A318" s="35"/>
      <c r="B318" s="19" t="str">
        <f>IFERROR(VLOOKUP(A318, Tasks!A$89:E$133,2, FALSE), "")</f>
        <v/>
      </c>
      <c r="C318" s="35"/>
      <c r="D318" s="35"/>
      <c r="E318" s="15"/>
      <c r="F318" s="15"/>
      <c r="G318" s="15"/>
      <c r="H318" s="23"/>
    </row>
    <row r="319" spans="1:8" ht="13.2">
      <c r="A319" s="34"/>
      <c r="B319" s="24" t="str">
        <f>IFERROR(VLOOKUP(A319, Tasks!A$89:E$133,2, FALSE), "")</f>
        <v/>
      </c>
      <c r="C319" s="34"/>
      <c r="D319" s="34"/>
      <c r="E319" s="36"/>
      <c r="F319" s="36"/>
      <c r="G319" s="36"/>
      <c r="H319" s="28"/>
    </row>
    <row r="320" spans="1:8" ht="13.2">
      <c r="A320" s="35"/>
      <c r="B320" s="19" t="str">
        <f>IFERROR(VLOOKUP(A320, Tasks!A$89:E$133,2, FALSE), "")</f>
        <v/>
      </c>
      <c r="C320" s="35"/>
      <c r="D320" s="35"/>
      <c r="E320" s="15"/>
      <c r="F320" s="15"/>
      <c r="G320" s="15"/>
      <c r="H320" s="23"/>
    </row>
    <row r="321" spans="1:8" ht="13.2">
      <c r="A321" s="34"/>
      <c r="B321" s="24" t="str">
        <f>IFERROR(VLOOKUP(A321, Tasks!A$89:E$133,2, FALSE), "")</f>
        <v/>
      </c>
      <c r="C321" s="34"/>
      <c r="D321" s="34"/>
      <c r="E321" s="36"/>
      <c r="F321" s="36"/>
      <c r="G321" s="36"/>
      <c r="H321" s="28"/>
    </row>
    <row r="322" spans="1:8" ht="13.2">
      <c r="A322" s="35"/>
      <c r="B322" s="19" t="str">
        <f>IFERROR(VLOOKUP(A322, Tasks!A$89:E$133,2, FALSE), "")</f>
        <v/>
      </c>
      <c r="C322" s="35"/>
      <c r="D322" s="35"/>
      <c r="E322" s="15"/>
      <c r="F322" s="15"/>
      <c r="G322" s="15"/>
      <c r="H322" s="23"/>
    </row>
    <row r="323" spans="1:8" ht="13.2">
      <c r="A323" s="34"/>
      <c r="B323" s="24" t="str">
        <f>IFERROR(VLOOKUP(A323, Tasks!A$89:E$133,2, FALSE), "")</f>
        <v/>
      </c>
      <c r="C323" s="34"/>
      <c r="D323" s="34"/>
      <c r="E323" s="36"/>
      <c r="F323" s="36"/>
      <c r="G323" s="36"/>
      <c r="H323" s="28"/>
    </row>
    <row r="324" spans="1:8" ht="13.2">
      <c r="A324" s="35"/>
      <c r="B324" s="19" t="str">
        <f>IFERROR(VLOOKUP(A324, Tasks!A$89:E$133,2, FALSE), "")</f>
        <v/>
      </c>
      <c r="C324" s="35"/>
      <c r="D324" s="35"/>
      <c r="E324" s="15"/>
      <c r="F324" s="15"/>
      <c r="G324" s="15"/>
      <c r="H324" s="23"/>
    </row>
    <row r="325" spans="1:8" ht="13.2">
      <c r="A325" s="34"/>
      <c r="B325" s="24" t="str">
        <f>IFERROR(VLOOKUP(A325, Tasks!A$89:E$133,2, FALSE), "")</f>
        <v/>
      </c>
      <c r="C325" s="34"/>
      <c r="D325" s="34"/>
      <c r="E325" s="36"/>
      <c r="F325" s="36"/>
      <c r="G325" s="36"/>
      <c r="H325" s="28"/>
    </row>
    <row r="326" spans="1:8" ht="13.2">
      <c r="A326" s="35"/>
      <c r="B326" s="19" t="str">
        <f>IFERROR(VLOOKUP(A326, Tasks!A$89:E$133,2, FALSE), "")</f>
        <v/>
      </c>
      <c r="C326" s="35"/>
      <c r="D326" s="35"/>
      <c r="E326" s="15"/>
      <c r="F326" s="15"/>
      <c r="G326" s="15"/>
      <c r="H326" s="23"/>
    </row>
    <row r="327" spans="1:8" ht="13.2">
      <c r="A327" s="34"/>
      <c r="B327" s="24" t="str">
        <f>IFERROR(VLOOKUP(A327, Tasks!A$89:E$133,2, FALSE), "")</f>
        <v/>
      </c>
      <c r="C327" s="34"/>
      <c r="D327" s="34"/>
      <c r="E327" s="36"/>
      <c r="F327" s="36"/>
      <c r="G327" s="36"/>
      <c r="H327" s="28"/>
    </row>
    <row r="328" spans="1:8" ht="13.2">
      <c r="A328" s="35"/>
      <c r="B328" s="19" t="str">
        <f>IFERROR(VLOOKUP(A328, Tasks!A$89:E$133,2, FALSE), "")</f>
        <v/>
      </c>
      <c r="C328" s="35"/>
      <c r="D328" s="35"/>
      <c r="E328" s="15"/>
      <c r="F328" s="15"/>
      <c r="G328" s="15"/>
      <c r="H328" s="23"/>
    </row>
    <row r="329" spans="1:8" ht="13.2">
      <c r="A329" s="34"/>
      <c r="B329" s="24" t="str">
        <f>IFERROR(VLOOKUP(A329, Tasks!A$89:E$133,2, FALSE), "")</f>
        <v/>
      </c>
      <c r="C329" s="34"/>
      <c r="D329" s="34"/>
      <c r="E329" s="36"/>
      <c r="F329" s="36"/>
      <c r="G329" s="36"/>
      <c r="H329" s="28"/>
    </row>
    <row r="330" spans="1:8" ht="13.2">
      <c r="A330" s="35"/>
      <c r="B330" s="19" t="str">
        <f>IFERROR(VLOOKUP(A330, Tasks!A$89:E$133,2, FALSE), "")</f>
        <v/>
      </c>
      <c r="C330" s="35"/>
      <c r="D330" s="35"/>
      <c r="E330" s="15"/>
      <c r="F330" s="15"/>
      <c r="G330" s="15"/>
      <c r="H330" s="23"/>
    </row>
    <row r="331" spans="1:8" ht="13.2">
      <c r="A331" s="34"/>
      <c r="B331" s="24" t="str">
        <f>IFERROR(VLOOKUP(A331, Tasks!A$89:E$133,2, FALSE), "")</f>
        <v/>
      </c>
      <c r="C331" s="34"/>
      <c r="D331" s="34"/>
      <c r="E331" s="36"/>
      <c r="F331" s="36"/>
      <c r="G331" s="36"/>
      <c r="H331" s="28"/>
    </row>
    <row r="332" spans="1:8" ht="13.2">
      <c r="A332" s="35"/>
      <c r="B332" s="19" t="str">
        <f>IFERROR(VLOOKUP(A332, Tasks!A$89:E$133,2, FALSE), "")</f>
        <v/>
      </c>
      <c r="C332" s="35"/>
      <c r="D332" s="35"/>
      <c r="E332" s="15"/>
      <c r="F332" s="15"/>
      <c r="G332" s="15"/>
      <c r="H332" s="23"/>
    </row>
    <row r="333" spans="1:8" ht="13.2">
      <c r="A333" s="34"/>
      <c r="B333" s="24" t="str">
        <f>IFERROR(VLOOKUP(A333, Tasks!A$89:E$133,2, FALSE), "")</f>
        <v/>
      </c>
      <c r="C333" s="34"/>
      <c r="D333" s="34"/>
      <c r="E333" s="36"/>
      <c r="F333" s="36"/>
      <c r="G333" s="36"/>
      <c r="H333" s="28"/>
    </row>
    <row r="334" spans="1:8" ht="13.2">
      <c r="A334" s="35"/>
      <c r="B334" s="19" t="str">
        <f>IFERROR(VLOOKUP(A334, Tasks!A$89:E$133,2, FALSE), "")</f>
        <v/>
      </c>
      <c r="C334" s="35"/>
      <c r="D334" s="35"/>
      <c r="E334" s="15"/>
      <c r="F334" s="15"/>
      <c r="G334" s="15"/>
      <c r="H334" s="23"/>
    </row>
    <row r="335" spans="1:8" ht="13.2">
      <c r="A335" s="34"/>
      <c r="B335" s="24" t="str">
        <f>IFERROR(VLOOKUP(A335, Tasks!A$89:E$133,2, FALSE), "")</f>
        <v/>
      </c>
      <c r="C335" s="34"/>
      <c r="D335" s="34"/>
      <c r="E335" s="36"/>
      <c r="F335" s="36"/>
      <c r="G335" s="36"/>
      <c r="H335" s="28"/>
    </row>
    <row r="336" spans="1:8" ht="13.2">
      <c r="A336" s="35"/>
      <c r="B336" s="19" t="str">
        <f>IFERROR(VLOOKUP(A336, Tasks!A$89:E$133,2, FALSE), "")</f>
        <v/>
      </c>
      <c r="C336" s="35"/>
      <c r="D336" s="35"/>
      <c r="E336" s="15"/>
      <c r="F336" s="15"/>
      <c r="G336" s="15"/>
      <c r="H336" s="23"/>
    </row>
    <row r="337" spans="1:8" ht="13.2">
      <c r="A337" s="34"/>
      <c r="B337" s="24" t="str">
        <f>IFERROR(VLOOKUP(A337, Tasks!A$89:E$133,2, FALSE), "")</f>
        <v/>
      </c>
      <c r="C337" s="34"/>
      <c r="D337" s="34"/>
      <c r="E337" s="36"/>
      <c r="F337" s="36"/>
      <c r="G337" s="36"/>
      <c r="H337" s="28"/>
    </row>
    <row r="338" spans="1:8" ht="13.2">
      <c r="A338" s="35"/>
      <c r="B338" s="19" t="str">
        <f>IFERROR(VLOOKUP(A338, Tasks!A$89:E$133,2, FALSE), "")</f>
        <v/>
      </c>
      <c r="C338" s="35"/>
      <c r="D338" s="35"/>
      <c r="E338" s="15"/>
      <c r="F338" s="15"/>
      <c r="G338" s="15"/>
      <c r="H338" s="23"/>
    </row>
    <row r="339" spans="1:8" ht="13.2">
      <c r="A339" s="34"/>
      <c r="B339" s="24" t="str">
        <f>IFERROR(VLOOKUP(A339, Tasks!A$89:E$133,2, FALSE), "")</f>
        <v/>
      </c>
      <c r="C339" s="34"/>
      <c r="D339" s="34"/>
      <c r="E339" s="36"/>
      <c r="F339" s="36"/>
      <c r="G339" s="36"/>
      <c r="H339" s="28"/>
    </row>
    <row r="340" spans="1:8" ht="13.2">
      <c r="A340" s="35"/>
      <c r="B340" s="19" t="str">
        <f>IFERROR(VLOOKUP(A340, Tasks!A$89:E$133,2, FALSE), "")</f>
        <v/>
      </c>
      <c r="C340" s="35"/>
      <c r="D340" s="35"/>
      <c r="E340" s="15"/>
      <c r="F340" s="15"/>
      <c r="G340" s="15"/>
      <c r="H340" s="23"/>
    </row>
    <row r="341" spans="1:8" ht="13.2">
      <c r="A341" s="34"/>
      <c r="B341" s="24" t="str">
        <f>IFERROR(VLOOKUP(A341, Tasks!A$89:E$133,2, FALSE), "")</f>
        <v/>
      </c>
      <c r="C341" s="34"/>
      <c r="D341" s="34"/>
      <c r="E341" s="36"/>
      <c r="F341" s="36"/>
      <c r="G341" s="36"/>
      <c r="H341" s="28"/>
    </row>
    <row r="342" spans="1:8" ht="13.2">
      <c r="A342" s="35"/>
      <c r="B342" s="19" t="str">
        <f>IFERROR(VLOOKUP(A342, Tasks!A$89:E$133,2, FALSE), "")</f>
        <v/>
      </c>
      <c r="C342" s="35"/>
      <c r="D342" s="35"/>
      <c r="E342" s="15"/>
      <c r="F342" s="15"/>
      <c r="G342" s="15"/>
      <c r="H342" s="23"/>
    </row>
    <row r="343" spans="1:8" ht="13.2">
      <c r="A343" s="34"/>
      <c r="B343" s="24" t="str">
        <f>IFERROR(VLOOKUP(A343, Tasks!A$89:E$133,2, FALSE), "")</f>
        <v/>
      </c>
      <c r="C343" s="34"/>
      <c r="D343" s="34"/>
      <c r="E343" s="36"/>
      <c r="F343" s="36"/>
      <c r="G343" s="36"/>
      <c r="H343" s="28"/>
    </row>
    <row r="344" spans="1:8" ht="13.2">
      <c r="A344" s="35"/>
      <c r="B344" s="19" t="str">
        <f>IFERROR(VLOOKUP(A344, Tasks!A$89:E$133,2, FALSE), "")</f>
        <v/>
      </c>
      <c r="C344" s="35"/>
      <c r="D344" s="35"/>
      <c r="E344" s="15"/>
      <c r="F344" s="15"/>
      <c r="G344" s="15"/>
      <c r="H344" s="23"/>
    </row>
    <row r="345" spans="1:8" ht="13.2">
      <c r="A345" s="34"/>
      <c r="B345" s="24" t="str">
        <f>IFERROR(VLOOKUP(A345, Tasks!A$89:E$133,2, FALSE), "")</f>
        <v/>
      </c>
      <c r="C345" s="34"/>
      <c r="D345" s="34"/>
      <c r="E345" s="36"/>
      <c r="F345" s="36"/>
      <c r="G345" s="36"/>
      <c r="H345" s="28"/>
    </row>
    <row r="346" spans="1:8" ht="13.2">
      <c r="A346" s="35"/>
      <c r="B346" s="19" t="str">
        <f>IFERROR(VLOOKUP(A346, Tasks!A$89:E$133,2, FALSE), "")</f>
        <v/>
      </c>
      <c r="C346" s="35"/>
      <c r="D346" s="35"/>
      <c r="E346" s="15"/>
      <c r="F346" s="15"/>
      <c r="G346" s="15"/>
      <c r="H346" s="23"/>
    </row>
    <row r="347" spans="1:8" ht="13.2">
      <c r="A347" s="34"/>
      <c r="B347" s="24" t="str">
        <f>IFERROR(VLOOKUP(A347, Tasks!A$89:E$133,2, FALSE), "")</f>
        <v/>
      </c>
      <c r="C347" s="34"/>
      <c r="D347" s="34"/>
      <c r="E347" s="36"/>
      <c r="F347" s="36"/>
      <c r="G347" s="36"/>
      <c r="H347" s="28"/>
    </row>
    <row r="348" spans="1:8" ht="13.2">
      <c r="A348" s="35"/>
      <c r="B348" s="19" t="str">
        <f>IFERROR(VLOOKUP(A348, Tasks!A$89:E$133,2, FALSE), "")</f>
        <v/>
      </c>
      <c r="C348" s="35"/>
      <c r="D348" s="35"/>
      <c r="E348" s="15"/>
      <c r="F348" s="15"/>
      <c r="G348" s="15"/>
      <c r="H348" s="23"/>
    </row>
    <row r="349" spans="1:8" ht="13.2">
      <c r="A349" s="34"/>
      <c r="B349" s="24" t="str">
        <f>IFERROR(VLOOKUP(A349, Tasks!A$89:E$133,2, FALSE), "")</f>
        <v/>
      </c>
      <c r="C349" s="34"/>
      <c r="D349" s="34"/>
      <c r="E349" s="36"/>
      <c r="F349" s="36"/>
      <c r="G349" s="36"/>
      <c r="H349" s="28"/>
    </row>
    <row r="350" spans="1:8" ht="13.2">
      <c r="A350" s="35"/>
      <c r="B350" s="19" t="str">
        <f>IFERROR(VLOOKUP(A350, Tasks!A$89:E$133,2, FALSE), "")</f>
        <v/>
      </c>
      <c r="C350" s="35"/>
      <c r="D350" s="35"/>
      <c r="E350" s="15"/>
      <c r="F350" s="15"/>
      <c r="G350" s="15"/>
      <c r="H350" s="23"/>
    </row>
    <row r="351" spans="1:8" ht="13.2">
      <c r="A351" s="34"/>
      <c r="B351" s="24" t="str">
        <f>IFERROR(VLOOKUP(A351, Tasks!A$89:E$133,2, FALSE), "")</f>
        <v/>
      </c>
      <c r="C351" s="34"/>
      <c r="D351" s="34"/>
      <c r="E351" s="36"/>
      <c r="F351" s="36"/>
      <c r="G351" s="36"/>
      <c r="H351" s="28"/>
    </row>
    <row r="352" spans="1:8" ht="13.2">
      <c r="A352" s="35"/>
      <c r="B352" s="19" t="str">
        <f>IFERROR(VLOOKUP(A352, Tasks!A$89:E$133,2, FALSE), "")</f>
        <v/>
      </c>
      <c r="C352" s="35"/>
      <c r="D352" s="35"/>
      <c r="E352" s="15"/>
      <c r="F352" s="15"/>
      <c r="G352" s="15"/>
      <c r="H352" s="23"/>
    </row>
    <row r="353" spans="1:8" ht="13.2">
      <c r="A353" s="34"/>
      <c r="B353" s="24" t="str">
        <f>IFERROR(VLOOKUP(A353, Tasks!A$89:E$133,2, FALSE), "")</f>
        <v/>
      </c>
      <c r="C353" s="34"/>
      <c r="D353" s="34"/>
      <c r="E353" s="36"/>
      <c r="F353" s="36"/>
      <c r="G353" s="36"/>
      <c r="H353" s="28"/>
    </row>
    <row r="354" spans="1:8" ht="13.2">
      <c r="A354" s="35"/>
      <c r="B354" s="19" t="str">
        <f>IFERROR(VLOOKUP(A354, Tasks!A$89:E$133,2, FALSE), "")</f>
        <v/>
      </c>
      <c r="C354" s="35"/>
      <c r="D354" s="35"/>
      <c r="E354" s="15"/>
      <c r="F354" s="15"/>
      <c r="G354" s="15"/>
      <c r="H354" s="23"/>
    </row>
    <row r="355" spans="1:8" ht="13.2">
      <c r="A355" s="34"/>
      <c r="B355" s="24" t="str">
        <f>IFERROR(VLOOKUP(A355, Tasks!A$89:E$133,2, FALSE), "")</f>
        <v/>
      </c>
      <c r="C355" s="34"/>
      <c r="D355" s="34"/>
      <c r="E355" s="36"/>
      <c r="F355" s="36"/>
      <c r="G355" s="36"/>
      <c r="H355" s="28"/>
    </row>
    <row r="356" spans="1:8" ht="13.2">
      <c r="A356" s="35"/>
      <c r="B356" s="19" t="str">
        <f>IFERROR(VLOOKUP(A356, Tasks!A$89:E$133,2, FALSE), "")</f>
        <v/>
      </c>
      <c r="C356" s="35"/>
      <c r="D356" s="35"/>
      <c r="E356" s="15"/>
      <c r="F356" s="15"/>
      <c r="G356" s="15"/>
      <c r="H356" s="23"/>
    </row>
    <row r="357" spans="1:8" ht="13.2">
      <c r="A357" s="34"/>
      <c r="B357" s="24" t="str">
        <f>IFERROR(VLOOKUP(A357, Tasks!A$89:E$133,2, FALSE), "")</f>
        <v/>
      </c>
      <c r="C357" s="34"/>
      <c r="D357" s="34"/>
      <c r="E357" s="36"/>
      <c r="F357" s="36"/>
      <c r="G357" s="36"/>
      <c r="H357" s="28"/>
    </row>
    <row r="358" spans="1:8" ht="13.2">
      <c r="A358" s="35"/>
      <c r="B358" s="19" t="str">
        <f>IFERROR(VLOOKUP(A358, Tasks!A$89:E$133,2, FALSE), "")</f>
        <v/>
      </c>
      <c r="C358" s="35"/>
      <c r="D358" s="35"/>
      <c r="E358" s="15"/>
      <c r="F358" s="15"/>
      <c r="G358" s="15"/>
      <c r="H358" s="23"/>
    </row>
    <row r="359" spans="1:8" ht="13.2">
      <c r="A359" s="34"/>
      <c r="B359" s="24" t="str">
        <f>IFERROR(VLOOKUP(A359, Tasks!A$89:E$133,2, FALSE), "")</f>
        <v/>
      </c>
      <c r="C359" s="34"/>
      <c r="D359" s="34"/>
      <c r="E359" s="36"/>
      <c r="F359" s="36"/>
      <c r="G359" s="36"/>
      <c r="H359" s="28"/>
    </row>
    <row r="360" spans="1:8" ht="13.2">
      <c r="A360" s="35"/>
      <c r="B360" s="19" t="str">
        <f>IFERROR(VLOOKUP(A360, Tasks!A$89:E$133,2, FALSE), "")</f>
        <v/>
      </c>
      <c r="C360" s="35"/>
      <c r="D360" s="35"/>
      <c r="E360" s="15"/>
      <c r="F360" s="15"/>
      <c r="G360" s="15"/>
      <c r="H360" s="23"/>
    </row>
    <row r="361" spans="1:8" ht="13.2">
      <c r="A361" s="34"/>
      <c r="B361" s="24" t="str">
        <f>IFERROR(VLOOKUP(A361, Tasks!A$89:E$133,2, FALSE), "")</f>
        <v/>
      </c>
      <c r="C361" s="34"/>
      <c r="D361" s="34"/>
      <c r="E361" s="36"/>
      <c r="F361" s="36"/>
      <c r="G361" s="36"/>
      <c r="H361" s="28"/>
    </row>
    <row r="362" spans="1:8" ht="13.2">
      <c r="A362" s="35"/>
      <c r="B362" s="19" t="str">
        <f>IFERROR(VLOOKUP(A362, Tasks!A$89:E$133,2, FALSE), "")</f>
        <v/>
      </c>
      <c r="C362" s="35"/>
      <c r="D362" s="35"/>
      <c r="E362" s="15"/>
      <c r="F362" s="15"/>
      <c r="G362" s="15"/>
      <c r="H362" s="23"/>
    </row>
    <row r="363" spans="1:8" ht="13.2">
      <c r="A363" s="34"/>
      <c r="B363" s="24" t="str">
        <f>IFERROR(VLOOKUP(A363, Tasks!A$89:E$133,2, FALSE), "")</f>
        <v/>
      </c>
      <c r="C363" s="34"/>
      <c r="D363" s="34"/>
      <c r="E363" s="36"/>
      <c r="F363" s="36"/>
      <c r="G363" s="36"/>
      <c r="H363" s="28"/>
    </row>
    <row r="364" spans="1:8" ht="13.2">
      <c r="A364" s="35"/>
      <c r="B364" s="19" t="str">
        <f>IFERROR(VLOOKUP(A364, Tasks!A$89:E$133,2, FALSE), "")</f>
        <v/>
      </c>
      <c r="C364" s="35"/>
      <c r="D364" s="35"/>
      <c r="E364" s="15"/>
      <c r="F364" s="15"/>
      <c r="G364" s="15"/>
      <c r="H364" s="23"/>
    </row>
    <row r="365" spans="1:8" ht="13.2">
      <c r="A365" s="34"/>
      <c r="B365" s="24" t="str">
        <f>IFERROR(VLOOKUP(A365, Tasks!A$89:E$133,2, FALSE), "")</f>
        <v/>
      </c>
      <c r="C365" s="34"/>
      <c r="D365" s="34"/>
      <c r="E365" s="36"/>
      <c r="F365" s="36"/>
      <c r="G365" s="36"/>
      <c r="H365" s="28"/>
    </row>
    <row r="366" spans="1:8" ht="13.2">
      <c r="A366" s="35"/>
      <c r="B366" s="19" t="str">
        <f>IFERROR(VLOOKUP(A366, Tasks!A$89:E$133,2, FALSE), "")</f>
        <v/>
      </c>
      <c r="C366" s="35"/>
      <c r="D366" s="35"/>
      <c r="E366" s="15"/>
      <c r="F366" s="15"/>
      <c r="G366" s="15"/>
      <c r="H366" s="23"/>
    </row>
    <row r="367" spans="1:8" ht="13.2">
      <c r="A367" s="34"/>
      <c r="B367" s="24" t="str">
        <f>IFERROR(VLOOKUP(A367, Tasks!A$89:E$133,2, FALSE), "")</f>
        <v/>
      </c>
      <c r="C367" s="34"/>
      <c r="D367" s="34"/>
      <c r="E367" s="36"/>
      <c r="F367" s="36"/>
      <c r="G367" s="36"/>
      <c r="H367" s="28"/>
    </row>
    <row r="368" spans="1:8" ht="13.2">
      <c r="A368" s="35"/>
      <c r="B368" s="19" t="str">
        <f>IFERROR(VLOOKUP(A368, Tasks!A$89:E$133,2, FALSE), "")</f>
        <v/>
      </c>
      <c r="C368" s="35"/>
      <c r="D368" s="35"/>
      <c r="E368" s="15"/>
      <c r="F368" s="15"/>
      <c r="G368" s="15"/>
      <c r="H368" s="23"/>
    </row>
    <row r="369" spans="1:8" ht="13.2">
      <c r="A369" s="34"/>
      <c r="B369" s="24" t="str">
        <f>IFERROR(VLOOKUP(A369, Tasks!A$89:E$133,2, FALSE), "")</f>
        <v/>
      </c>
      <c r="C369" s="34"/>
      <c r="D369" s="34"/>
      <c r="E369" s="36"/>
      <c r="F369" s="36"/>
      <c r="G369" s="36"/>
      <c r="H369" s="28"/>
    </row>
    <row r="370" spans="1:8" ht="13.2">
      <c r="A370" s="35"/>
      <c r="B370" s="19" t="str">
        <f>IFERROR(VLOOKUP(A370, Tasks!A$89:E$133,2, FALSE), "")</f>
        <v/>
      </c>
      <c r="C370" s="35"/>
      <c r="D370" s="35"/>
      <c r="E370" s="15"/>
      <c r="F370" s="15"/>
      <c r="G370" s="15"/>
      <c r="H370" s="23"/>
    </row>
    <row r="371" spans="1:8" ht="13.2">
      <c r="A371" s="34"/>
      <c r="B371" s="24" t="str">
        <f>IFERROR(VLOOKUP(A371, Tasks!A$89:E$133,2, FALSE), "")</f>
        <v/>
      </c>
      <c r="C371" s="34"/>
      <c r="D371" s="34"/>
      <c r="E371" s="36"/>
      <c r="F371" s="36"/>
      <c r="G371" s="36"/>
      <c r="H371" s="28"/>
    </row>
    <row r="372" spans="1:8" ht="13.2">
      <c r="A372" s="35"/>
      <c r="B372" s="19" t="str">
        <f>IFERROR(VLOOKUP(A372, Tasks!A$89:E$133,2, FALSE), "")</f>
        <v/>
      </c>
      <c r="C372" s="35"/>
      <c r="D372" s="35"/>
      <c r="E372" s="15"/>
      <c r="F372" s="15"/>
      <c r="G372" s="15"/>
      <c r="H372" s="23"/>
    </row>
    <row r="373" spans="1:8" ht="13.2">
      <c r="A373" s="34"/>
      <c r="B373" s="24" t="str">
        <f>IFERROR(VLOOKUP(A373, Tasks!A$89:E$133,2, FALSE), "")</f>
        <v/>
      </c>
      <c r="C373" s="34"/>
      <c r="D373" s="34"/>
      <c r="E373" s="36"/>
      <c r="F373" s="36"/>
      <c r="G373" s="36"/>
      <c r="H373" s="28"/>
    </row>
    <row r="374" spans="1:8" ht="13.2">
      <c r="A374" s="35"/>
      <c r="B374" s="19" t="str">
        <f>IFERROR(VLOOKUP(A374, Tasks!A$89:E$133,2, FALSE), "")</f>
        <v/>
      </c>
      <c r="C374" s="35"/>
      <c r="D374" s="35"/>
      <c r="E374" s="15"/>
      <c r="F374" s="15"/>
      <c r="G374" s="15"/>
      <c r="H374" s="23"/>
    </row>
    <row r="375" spans="1:8" ht="13.2">
      <c r="A375" s="34"/>
      <c r="B375" s="24" t="str">
        <f>IFERROR(VLOOKUP(A375, Tasks!A$89:E$133,2, FALSE), "")</f>
        <v/>
      </c>
      <c r="C375" s="34"/>
      <c r="D375" s="34"/>
      <c r="E375" s="36"/>
      <c r="F375" s="36"/>
      <c r="G375" s="36"/>
      <c r="H375" s="28"/>
    </row>
    <row r="376" spans="1:8" ht="13.2">
      <c r="A376" s="35"/>
      <c r="B376" s="19" t="str">
        <f>IFERROR(VLOOKUP(A376, Tasks!A$89:E$133,2, FALSE), "")</f>
        <v/>
      </c>
      <c r="C376" s="35"/>
      <c r="D376" s="35"/>
      <c r="E376" s="15"/>
      <c r="F376" s="15"/>
      <c r="G376" s="15"/>
      <c r="H376" s="23"/>
    </row>
    <row r="377" spans="1:8" ht="13.2">
      <c r="A377" s="34"/>
      <c r="B377" s="24" t="str">
        <f>IFERROR(VLOOKUP(A377, Tasks!A$89:E$133,2, FALSE), "")</f>
        <v/>
      </c>
      <c r="C377" s="34"/>
      <c r="D377" s="34"/>
      <c r="E377" s="36"/>
      <c r="F377" s="36"/>
      <c r="G377" s="36"/>
      <c r="H377" s="28"/>
    </row>
    <row r="378" spans="1:8" ht="13.2">
      <c r="A378" s="35"/>
      <c r="B378" s="19" t="str">
        <f>IFERROR(VLOOKUP(A378, Tasks!A$89:E$133,2, FALSE), "")</f>
        <v/>
      </c>
      <c r="C378" s="35"/>
      <c r="D378" s="35"/>
      <c r="E378" s="15"/>
      <c r="F378" s="15"/>
      <c r="G378" s="15"/>
      <c r="H378" s="23"/>
    </row>
    <row r="379" spans="1:8" ht="13.2">
      <c r="A379" s="34"/>
      <c r="B379" s="24" t="str">
        <f>IFERROR(VLOOKUP(A379, Tasks!A$89:E$133,2, FALSE), "")</f>
        <v/>
      </c>
      <c r="C379" s="34"/>
      <c r="D379" s="34"/>
      <c r="E379" s="36"/>
      <c r="F379" s="36"/>
      <c r="G379" s="36"/>
      <c r="H379" s="28"/>
    </row>
    <row r="380" spans="1:8" ht="13.2">
      <c r="A380" s="35"/>
      <c r="B380" s="19" t="str">
        <f>IFERROR(VLOOKUP(A380, Tasks!A$89:E$133,2, FALSE), "")</f>
        <v/>
      </c>
      <c r="C380" s="35"/>
      <c r="D380" s="35"/>
      <c r="E380" s="15"/>
      <c r="F380" s="15"/>
      <c r="G380" s="15"/>
      <c r="H380" s="23"/>
    </row>
    <row r="381" spans="1:8" ht="13.2">
      <c r="A381" s="34"/>
      <c r="B381" s="24" t="str">
        <f>IFERROR(VLOOKUP(A381, Tasks!A$89:E$133,2, FALSE), "")</f>
        <v/>
      </c>
      <c r="C381" s="34"/>
      <c r="D381" s="34"/>
      <c r="E381" s="36"/>
      <c r="F381" s="36"/>
      <c r="G381" s="36"/>
      <c r="H381" s="28"/>
    </row>
    <row r="382" spans="1:8" ht="13.2">
      <c r="A382" s="35"/>
      <c r="B382" s="19" t="str">
        <f>IFERROR(VLOOKUP(A382, Tasks!A$89:E$133,2, FALSE), "")</f>
        <v/>
      </c>
      <c r="C382" s="35"/>
      <c r="D382" s="35"/>
      <c r="E382" s="15"/>
      <c r="F382" s="15"/>
      <c r="G382" s="15"/>
      <c r="H382" s="23"/>
    </row>
    <row r="383" spans="1:8" ht="13.2">
      <c r="A383" s="34"/>
      <c r="B383" s="24" t="str">
        <f>IFERROR(VLOOKUP(A383, Tasks!A$89:E$133,2, FALSE), "")</f>
        <v/>
      </c>
      <c r="C383" s="34"/>
      <c r="D383" s="34"/>
      <c r="E383" s="36"/>
      <c r="F383" s="36"/>
      <c r="G383" s="36"/>
      <c r="H383" s="28"/>
    </row>
    <row r="384" spans="1:8" ht="13.2">
      <c r="A384" s="35"/>
      <c r="B384" s="19" t="str">
        <f>IFERROR(VLOOKUP(A384, Tasks!A$89:E$133,2, FALSE), "")</f>
        <v/>
      </c>
      <c r="C384" s="35"/>
      <c r="D384" s="35"/>
      <c r="E384" s="15"/>
      <c r="F384" s="15"/>
      <c r="G384" s="15"/>
      <c r="H384" s="23"/>
    </row>
    <row r="385" spans="1:8" ht="13.2">
      <c r="A385" s="34"/>
      <c r="B385" s="24" t="str">
        <f>IFERROR(VLOOKUP(A385, Tasks!A$89:E$133,2, FALSE), "")</f>
        <v/>
      </c>
      <c r="C385" s="34"/>
      <c r="D385" s="34"/>
      <c r="E385" s="36"/>
      <c r="F385" s="36"/>
      <c r="G385" s="36"/>
      <c r="H385" s="28"/>
    </row>
    <row r="386" spans="1:8" ht="13.2">
      <c r="A386" s="35"/>
      <c r="B386" s="19" t="str">
        <f>IFERROR(VLOOKUP(A386, Tasks!A$89:E$133,2, FALSE), "")</f>
        <v/>
      </c>
      <c r="C386" s="35"/>
      <c r="D386" s="35"/>
      <c r="E386" s="15"/>
      <c r="F386" s="15"/>
      <c r="G386" s="15"/>
      <c r="H386" s="23"/>
    </row>
    <row r="387" spans="1:8" ht="13.2">
      <c r="A387" s="34"/>
      <c r="B387" s="24" t="str">
        <f>IFERROR(VLOOKUP(A387, Tasks!A$89:E$133,2, FALSE), "")</f>
        <v/>
      </c>
      <c r="C387" s="34"/>
      <c r="D387" s="34"/>
      <c r="E387" s="36"/>
      <c r="F387" s="36"/>
      <c r="G387" s="36"/>
      <c r="H387" s="28"/>
    </row>
    <row r="388" spans="1:8" ht="13.2">
      <c r="A388" s="35"/>
      <c r="B388" s="19" t="str">
        <f>IFERROR(VLOOKUP(A388, Tasks!A$89:E$133,2, FALSE), "")</f>
        <v/>
      </c>
      <c r="C388" s="35"/>
      <c r="D388" s="35"/>
      <c r="E388" s="15"/>
      <c r="F388" s="15"/>
      <c r="G388" s="15"/>
      <c r="H388" s="23"/>
    </row>
    <row r="389" spans="1:8" ht="13.2">
      <c r="A389" s="34"/>
      <c r="B389" s="24" t="str">
        <f>IFERROR(VLOOKUP(A389, Tasks!A$89:E$133,2, FALSE), "")</f>
        <v/>
      </c>
      <c r="C389" s="34"/>
      <c r="D389" s="34"/>
      <c r="E389" s="36"/>
      <c r="F389" s="36"/>
      <c r="G389" s="36"/>
      <c r="H389" s="28"/>
    </row>
    <row r="390" spans="1:8" ht="13.2">
      <c r="A390" s="35"/>
      <c r="B390" s="19" t="str">
        <f>IFERROR(VLOOKUP(A390, Tasks!A$89:E$133,2, FALSE), "")</f>
        <v/>
      </c>
      <c r="C390" s="35"/>
      <c r="D390" s="35"/>
      <c r="E390" s="15"/>
      <c r="F390" s="15"/>
      <c r="G390" s="15"/>
      <c r="H390" s="23"/>
    </row>
    <row r="391" spans="1:8" ht="13.2">
      <c r="A391" s="34"/>
      <c r="B391" s="24" t="str">
        <f>IFERROR(VLOOKUP(A391, Tasks!A$89:E$133,2, FALSE), "")</f>
        <v/>
      </c>
      <c r="C391" s="34"/>
      <c r="D391" s="34"/>
      <c r="E391" s="36"/>
      <c r="F391" s="36"/>
      <c r="G391" s="36"/>
      <c r="H391" s="28"/>
    </row>
    <row r="392" spans="1:8" ht="13.2">
      <c r="A392" s="35"/>
      <c r="B392" s="19" t="str">
        <f>IFERROR(VLOOKUP(A392, Tasks!A$89:E$133,2, FALSE), "")</f>
        <v/>
      </c>
      <c r="C392" s="35"/>
      <c r="D392" s="35"/>
      <c r="E392" s="15"/>
      <c r="F392" s="15"/>
      <c r="G392" s="15"/>
      <c r="H392" s="23"/>
    </row>
    <row r="393" spans="1:8" ht="13.2">
      <c r="A393" s="34"/>
      <c r="B393" s="24" t="str">
        <f>IFERROR(VLOOKUP(A393, Tasks!A$89:E$133,2, FALSE), "")</f>
        <v/>
      </c>
      <c r="C393" s="34"/>
      <c r="D393" s="34"/>
      <c r="E393" s="36"/>
      <c r="F393" s="36"/>
      <c r="G393" s="36"/>
      <c r="H393" s="28"/>
    </row>
    <row r="394" spans="1:8" ht="13.2">
      <c r="A394" s="35"/>
      <c r="B394" s="19" t="str">
        <f>IFERROR(VLOOKUP(A394, Tasks!A$89:E$133,2, FALSE), "")</f>
        <v/>
      </c>
      <c r="C394" s="35"/>
      <c r="D394" s="35"/>
      <c r="E394" s="15"/>
      <c r="F394" s="15"/>
      <c r="G394" s="15"/>
      <c r="H394" s="23"/>
    </row>
    <row r="395" spans="1:8" ht="13.2">
      <c r="A395" s="34"/>
      <c r="B395" s="24" t="str">
        <f>IFERROR(VLOOKUP(A395, Tasks!A$89:E$133,2, FALSE), "")</f>
        <v/>
      </c>
      <c r="C395" s="34"/>
      <c r="D395" s="34"/>
      <c r="E395" s="36"/>
      <c r="F395" s="36"/>
      <c r="G395" s="36"/>
      <c r="H395" s="28"/>
    </row>
    <row r="396" spans="1:8" ht="13.2">
      <c r="A396" s="35"/>
      <c r="B396" s="19" t="str">
        <f>IFERROR(VLOOKUP(A396, Tasks!A$89:E$133,2, FALSE), "")</f>
        <v/>
      </c>
      <c r="C396" s="35"/>
      <c r="D396" s="35"/>
      <c r="E396" s="15"/>
      <c r="F396" s="15"/>
      <c r="G396" s="15"/>
      <c r="H396" s="23"/>
    </row>
    <row r="397" spans="1:8" ht="13.2">
      <c r="A397" s="34"/>
      <c r="B397" s="24" t="str">
        <f>IFERROR(VLOOKUP(A397, Tasks!A$89:E$133,2, FALSE), "")</f>
        <v/>
      </c>
      <c r="C397" s="34"/>
      <c r="D397" s="34"/>
      <c r="E397" s="36"/>
      <c r="F397" s="36"/>
      <c r="G397" s="36"/>
      <c r="H397" s="28"/>
    </row>
    <row r="398" spans="1:8" ht="13.2">
      <c r="A398" s="35"/>
      <c r="B398" s="19" t="str">
        <f>IFERROR(VLOOKUP(A398, Tasks!A$89:E$133,2, FALSE), "")</f>
        <v/>
      </c>
      <c r="C398" s="35"/>
      <c r="D398" s="35"/>
      <c r="E398" s="15"/>
      <c r="F398" s="15"/>
      <c r="G398" s="15"/>
      <c r="H398" s="23"/>
    </row>
    <row r="399" spans="1:8" ht="13.2">
      <c r="A399" s="34"/>
      <c r="B399" s="24" t="str">
        <f>IFERROR(VLOOKUP(A399, Tasks!A$89:E$133,2, FALSE), "")</f>
        <v/>
      </c>
      <c r="C399" s="34"/>
      <c r="D399" s="34"/>
      <c r="E399" s="36"/>
      <c r="F399" s="36"/>
      <c r="G399" s="36"/>
      <c r="H399" s="28"/>
    </row>
    <row r="400" spans="1:8" ht="13.2">
      <c r="A400" s="35"/>
      <c r="B400" s="19" t="str">
        <f>IFERROR(VLOOKUP(A400, Tasks!A$89:E$133,2, FALSE), "")</f>
        <v/>
      </c>
      <c r="C400" s="35"/>
      <c r="D400" s="35"/>
      <c r="E400" s="15"/>
      <c r="F400" s="15"/>
      <c r="G400" s="15"/>
      <c r="H400" s="23"/>
    </row>
    <row r="401" spans="1:8" ht="13.2">
      <c r="A401" s="34"/>
      <c r="B401" s="24" t="str">
        <f>IFERROR(VLOOKUP(A401, Tasks!A$89:E$133,2, FALSE), "")</f>
        <v/>
      </c>
      <c r="C401" s="34"/>
      <c r="D401" s="34"/>
      <c r="E401" s="36"/>
      <c r="F401" s="36"/>
      <c r="G401" s="36"/>
      <c r="H401" s="28"/>
    </row>
    <row r="402" spans="1:8" ht="13.2">
      <c r="A402" s="35"/>
      <c r="B402" s="19" t="str">
        <f>IFERROR(VLOOKUP(A402, Tasks!A$89:E$133,2, FALSE), "")</f>
        <v/>
      </c>
      <c r="C402" s="35"/>
      <c r="D402" s="35"/>
      <c r="E402" s="15"/>
      <c r="F402" s="15"/>
      <c r="G402" s="15"/>
      <c r="H402" s="23"/>
    </row>
    <row r="403" spans="1:8" ht="13.2">
      <c r="A403" s="34"/>
      <c r="B403" s="24" t="str">
        <f>IFERROR(VLOOKUP(A403, Tasks!A$89:E$133,2, FALSE), "")</f>
        <v/>
      </c>
      <c r="C403" s="34"/>
      <c r="D403" s="34"/>
      <c r="E403" s="36"/>
      <c r="F403" s="36"/>
      <c r="G403" s="36"/>
      <c r="H403" s="28"/>
    </row>
    <row r="404" spans="1:8" ht="13.2">
      <c r="A404" s="35"/>
      <c r="B404" s="19" t="str">
        <f>IFERROR(VLOOKUP(A404, Tasks!A$89:E$133,2, FALSE), "")</f>
        <v/>
      </c>
      <c r="C404" s="35"/>
      <c r="D404" s="35"/>
      <c r="E404" s="15"/>
      <c r="F404" s="15"/>
      <c r="G404" s="15"/>
      <c r="H404" s="23"/>
    </row>
    <row r="405" spans="1:8" ht="13.2">
      <c r="A405" s="34"/>
      <c r="B405" s="24" t="str">
        <f>IFERROR(VLOOKUP(A405, Tasks!A$89:E$133,2, FALSE), "")</f>
        <v/>
      </c>
      <c r="C405" s="34"/>
      <c r="D405" s="34"/>
      <c r="E405" s="36"/>
      <c r="F405" s="36"/>
      <c r="G405" s="36"/>
      <c r="H405" s="28"/>
    </row>
    <row r="406" spans="1:8" ht="13.2">
      <c r="A406" s="35"/>
      <c r="B406" s="19" t="str">
        <f>IFERROR(VLOOKUP(A406, Tasks!A$89:E$133,2, FALSE), "")</f>
        <v/>
      </c>
      <c r="C406" s="35"/>
      <c r="D406" s="35"/>
      <c r="E406" s="15"/>
      <c r="F406" s="15"/>
      <c r="G406" s="15"/>
      <c r="H406" s="23"/>
    </row>
    <row r="407" spans="1:8" ht="13.2">
      <c r="A407" s="34"/>
      <c r="B407" s="24" t="str">
        <f>IFERROR(VLOOKUP(A407, Tasks!A$89:E$133,2, FALSE), "")</f>
        <v/>
      </c>
      <c r="C407" s="34"/>
      <c r="D407" s="34"/>
      <c r="E407" s="36"/>
      <c r="F407" s="36"/>
      <c r="G407" s="36"/>
      <c r="H407" s="28"/>
    </row>
    <row r="408" spans="1:8" ht="13.2">
      <c r="A408" s="35"/>
      <c r="B408" s="19" t="str">
        <f>IFERROR(VLOOKUP(A408, Tasks!A$89:E$133,2, FALSE), "")</f>
        <v/>
      </c>
      <c r="C408" s="35"/>
      <c r="D408" s="35"/>
      <c r="E408" s="15"/>
      <c r="F408" s="15"/>
      <c r="G408" s="15"/>
      <c r="H408" s="23"/>
    </row>
    <row r="409" spans="1:8" ht="13.2">
      <c r="A409" s="34"/>
      <c r="B409" s="24" t="str">
        <f>IFERROR(VLOOKUP(A409, Tasks!A$89:E$133,2, FALSE), "")</f>
        <v/>
      </c>
      <c r="C409" s="34"/>
      <c r="D409" s="34"/>
      <c r="E409" s="36"/>
      <c r="F409" s="36"/>
      <c r="G409" s="36"/>
      <c r="H409" s="28"/>
    </row>
    <row r="410" spans="1:8" ht="13.2">
      <c r="A410" s="35"/>
      <c r="B410" s="19" t="str">
        <f>IFERROR(VLOOKUP(A410, Tasks!A$89:E$133,2, FALSE), "")</f>
        <v/>
      </c>
      <c r="C410" s="35"/>
      <c r="D410" s="35"/>
      <c r="E410" s="15"/>
      <c r="F410" s="15"/>
      <c r="G410" s="15"/>
      <c r="H410" s="23"/>
    </row>
    <row r="411" spans="1:8" ht="13.2">
      <c r="A411" s="34"/>
      <c r="B411" s="24" t="str">
        <f>IFERROR(VLOOKUP(A411, Tasks!A$89:E$133,2, FALSE), "")</f>
        <v/>
      </c>
      <c r="C411" s="34"/>
      <c r="D411" s="34"/>
      <c r="E411" s="36"/>
      <c r="F411" s="36"/>
      <c r="G411" s="36"/>
      <c r="H411" s="28"/>
    </row>
    <row r="412" spans="1:8" ht="13.2">
      <c r="A412" s="35"/>
      <c r="B412" s="19" t="str">
        <f>IFERROR(VLOOKUP(A412, Tasks!A$89:E$133,2, FALSE), "")</f>
        <v/>
      </c>
      <c r="C412" s="35"/>
      <c r="D412" s="35"/>
      <c r="E412" s="15"/>
      <c r="F412" s="15"/>
      <c r="G412" s="15"/>
      <c r="H412" s="23"/>
    </row>
    <row r="413" spans="1:8" ht="13.2">
      <c r="A413" s="34"/>
      <c r="B413" s="24" t="str">
        <f>IFERROR(VLOOKUP(A413, Tasks!A$89:E$133,2, FALSE), "")</f>
        <v/>
      </c>
      <c r="C413" s="34"/>
      <c r="D413" s="34"/>
      <c r="E413" s="36"/>
      <c r="F413" s="36"/>
      <c r="G413" s="36"/>
      <c r="H413" s="28"/>
    </row>
    <row r="414" spans="1:8" ht="13.2">
      <c r="A414" s="35"/>
      <c r="B414" s="19" t="str">
        <f>IFERROR(VLOOKUP(A414, Tasks!A$89:E$133,2, FALSE), "")</f>
        <v/>
      </c>
      <c r="C414" s="35"/>
      <c r="D414" s="35"/>
      <c r="E414" s="15"/>
      <c r="F414" s="15"/>
      <c r="G414" s="15"/>
      <c r="H414" s="23"/>
    </row>
    <row r="415" spans="1:8" ht="13.2">
      <c r="A415" s="34"/>
      <c r="B415" s="24" t="str">
        <f>IFERROR(VLOOKUP(A415, Tasks!A$89:E$133,2, FALSE), "")</f>
        <v/>
      </c>
      <c r="C415" s="34"/>
      <c r="D415" s="34"/>
      <c r="E415" s="36"/>
      <c r="F415" s="36"/>
      <c r="G415" s="36"/>
      <c r="H415" s="28"/>
    </row>
    <row r="416" spans="1:8" ht="13.2">
      <c r="A416" s="35"/>
      <c r="B416" s="19" t="str">
        <f>IFERROR(VLOOKUP(A416, Tasks!A$89:E$133,2, FALSE), "")</f>
        <v/>
      </c>
      <c r="C416" s="35"/>
      <c r="D416" s="35"/>
      <c r="E416" s="15"/>
      <c r="F416" s="15"/>
      <c r="G416" s="15"/>
      <c r="H416" s="23"/>
    </row>
    <row r="417" spans="1:8" ht="13.2">
      <c r="A417" s="34"/>
      <c r="B417" s="24" t="str">
        <f>IFERROR(VLOOKUP(A417, Tasks!A$89:E$133,2, FALSE), "")</f>
        <v/>
      </c>
      <c r="C417" s="34"/>
      <c r="D417" s="34"/>
      <c r="E417" s="36"/>
      <c r="F417" s="36"/>
      <c r="G417" s="36"/>
      <c r="H417" s="28"/>
    </row>
    <row r="418" spans="1:8" ht="13.2">
      <c r="A418" s="35"/>
      <c r="B418" s="19" t="str">
        <f>IFERROR(VLOOKUP(A418, Tasks!A$89:E$133,2, FALSE), "")</f>
        <v/>
      </c>
      <c r="C418" s="35"/>
      <c r="D418" s="35"/>
      <c r="E418" s="15"/>
      <c r="F418" s="15"/>
      <c r="G418" s="15"/>
      <c r="H418" s="23"/>
    </row>
    <row r="419" spans="1:8" ht="13.2">
      <c r="A419" s="34"/>
      <c r="B419" s="24" t="str">
        <f>IFERROR(VLOOKUP(A419, Tasks!A$89:E$133,2, FALSE), "")</f>
        <v/>
      </c>
      <c r="C419" s="34"/>
      <c r="D419" s="34"/>
      <c r="E419" s="36"/>
      <c r="F419" s="36"/>
      <c r="G419" s="36"/>
      <c r="H419" s="28"/>
    </row>
    <row r="420" spans="1:8" ht="13.2">
      <c r="A420" s="35"/>
      <c r="B420" s="19" t="str">
        <f>IFERROR(VLOOKUP(A420, Tasks!A$89:E$133,2, FALSE), "")</f>
        <v/>
      </c>
      <c r="C420" s="35"/>
      <c r="D420" s="35"/>
      <c r="E420" s="15"/>
      <c r="F420" s="15"/>
      <c r="G420" s="15"/>
      <c r="H420" s="23"/>
    </row>
    <row r="421" spans="1:8" ht="13.2">
      <c r="A421" s="34"/>
      <c r="B421" s="24" t="str">
        <f>IFERROR(VLOOKUP(A421, Tasks!A$89:E$133,2, FALSE), "")</f>
        <v/>
      </c>
      <c r="C421" s="34"/>
      <c r="D421" s="34"/>
      <c r="E421" s="36"/>
      <c r="F421" s="36"/>
      <c r="G421" s="36"/>
      <c r="H421" s="28"/>
    </row>
    <row r="422" spans="1:8" ht="13.2">
      <c r="A422" s="35"/>
      <c r="B422" s="19" t="str">
        <f>IFERROR(VLOOKUP(A422, Tasks!A$89:E$133,2, FALSE), "")</f>
        <v/>
      </c>
      <c r="C422" s="35"/>
      <c r="D422" s="35"/>
      <c r="E422" s="15"/>
      <c r="F422" s="15"/>
      <c r="G422" s="15"/>
      <c r="H422" s="23"/>
    </row>
    <row r="423" spans="1:8" ht="13.2">
      <c r="A423" s="34"/>
      <c r="B423" s="24" t="str">
        <f>IFERROR(VLOOKUP(A423, Tasks!A$89:E$133,2, FALSE), "")</f>
        <v/>
      </c>
      <c r="C423" s="34"/>
      <c r="D423" s="34"/>
      <c r="E423" s="36"/>
      <c r="F423" s="36"/>
      <c r="G423" s="36"/>
      <c r="H423" s="28"/>
    </row>
    <row r="424" spans="1:8" ht="13.2">
      <c r="A424" s="35"/>
      <c r="B424" s="19" t="str">
        <f>IFERROR(VLOOKUP(A424, Tasks!A$89:E$133,2, FALSE), "")</f>
        <v/>
      </c>
      <c r="C424" s="35"/>
      <c r="D424" s="35"/>
      <c r="E424" s="15"/>
      <c r="F424" s="15"/>
      <c r="G424" s="15"/>
      <c r="H424" s="23"/>
    </row>
    <row r="425" spans="1:8" ht="13.2">
      <c r="A425" s="34"/>
      <c r="B425" s="24" t="str">
        <f>IFERROR(VLOOKUP(A425, Tasks!A$89:E$133,2, FALSE), "")</f>
        <v/>
      </c>
      <c r="C425" s="34"/>
      <c r="D425" s="34"/>
      <c r="E425" s="36"/>
      <c r="F425" s="36"/>
      <c r="G425" s="36"/>
      <c r="H425" s="28"/>
    </row>
    <row r="426" spans="1:8" ht="13.2">
      <c r="A426" s="35"/>
      <c r="B426" s="19" t="str">
        <f>IFERROR(VLOOKUP(A426, Tasks!A$89:E$133,2, FALSE), "")</f>
        <v/>
      </c>
      <c r="C426" s="35"/>
      <c r="D426" s="35"/>
      <c r="E426" s="15"/>
      <c r="F426" s="15"/>
      <c r="G426" s="15"/>
      <c r="H426" s="23"/>
    </row>
    <row r="427" spans="1:8" ht="13.2">
      <c r="A427" s="34"/>
      <c r="B427" s="24" t="str">
        <f>IFERROR(VLOOKUP(A427, Tasks!A$89:E$133,2, FALSE), "")</f>
        <v/>
      </c>
      <c r="C427" s="34"/>
      <c r="D427" s="34"/>
      <c r="E427" s="36"/>
      <c r="F427" s="36"/>
      <c r="G427" s="36"/>
      <c r="H427" s="28"/>
    </row>
    <row r="428" spans="1:8" ht="13.2">
      <c r="A428" s="35"/>
      <c r="B428" s="19" t="str">
        <f>IFERROR(VLOOKUP(A428, Tasks!A$89:E$133,2, FALSE), "")</f>
        <v/>
      </c>
      <c r="C428" s="35"/>
      <c r="D428" s="35"/>
      <c r="E428" s="15"/>
      <c r="F428" s="15"/>
      <c r="G428" s="15"/>
      <c r="H428" s="23"/>
    </row>
    <row r="429" spans="1:8" ht="13.2">
      <c r="A429" s="34"/>
      <c r="B429" s="24" t="str">
        <f>IFERROR(VLOOKUP(A429, Tasks!A$89:E$133,2, FALSE), "")</f>
        <v/>
      </c>
      <c r="C429" s="34"/>
      <c r="D429" s="34"/>
      <c r="E429" s="36"/>
      <c r="F429" s="36"/>
      <c r="G429" s="36"/>
      <c r="H429" s="28"/>
    </row>
    <row r="430" spans="1:8" ht="13.2">
      <c r="A430" s="35"/>
      <c r="B430" s="19" t="str">
        <f>IFERROR(VLOOKUP(A430, Tasks!A$89:E$133,2, FALSE), "")</f>
        <v/>
      </c>
      <c r="C430" s="35"/>
      <c r="D430" s="35"/>
      <c r="E430" s="15"/>
      <c r="F430" s="15"/>
      <c r="G430" s="15"/>
      <c r="H430" s="23"/>
    </row>
    <row r="431" spans="1:8" ht="13.2">
      <c r="A431" s="34"/>
      <c r="B431" s="24" t="str">
        <f>IFERROR(VLOOKUP(A431, Tasks!A$89:E$133,2, FALSE), "")</f>
        <v/>
      </c>
      <c r="C431" s="34"/>
      <c r="D431" s="34"/>
      <c r="E431" s="36"/>
      <c r="F431" s="36"/>
      <c r="G431" s="36"/>
      <c r="H431" s="28"/>
    </row>
    <row r="432" spans="1:8" ht="13.2">
      <c r="A432" s="35"/>
      <c r="B432" s="19" t="str">
        <f>IFERROR(VLOOKUP(A432, Tasks!A$89:E$133,2, FALSE), "")</f>
        <v/>
      </c>
      <c r="C432" s="35"/>
      <c r="D432" s="35"/>
      <c r="E432" s="15"/>
      <c r="F432" s="15"/>
      <c r="G432" s="15"/>
      <c r="H432" s="23"/>
    </row>
    <row r="433" spans="1:8" ht="13.2">
      <c r="A433" s="34"/>
      <c r="B433" s="24" t="str">
        <f>IFERROR(VLOOKUP(A433, Tasks!A$89:E$133,2, FALSE), "")</f>
        <v/>
      </c>
      <c r="C433" s="34"/>
      <c r="D433" s="34"/>
      <c r="E433" s="36"/>
      <c r="F433" s="36"/>
      <c r="G433" s="36"/>
      <c r="H433" s="28"/>
    </row>
    <row r="434" spans="1:8" ht="13.2">
      <c r="A434" s="35"/>
      <c r="B434" s="19" t="str">
        <f>IFERROR(VLOOKUP(A434, Tasks!A$89:E$133,2, FALSE), "")</f>
        <v/>
      </c>
      <c r="C434" s="35"/>
      <c r="D434" s="35"/>
      <c r="E434" s="15"/>
      <c r="F434" s="15"/>
      <c r="G434" s="15"/>
      <c r="H434" s="23"/>
    </row>
    <row r="435" spans="1:8" ht="13.2">
      <c r="A435" s="34"/>
      <c r="B435" s="24" t="str">
        <f>IFERROR(VLOOKUP(A435, Tasks!A$89:E$133,2, FALSE), "")</f>
        <v/>
      </c>
      <c r="C435" s="34"/>
      <c r="D435" s="34"/>
      <c r="E435" s="36"/>
      <c r="F435" s="36"/>
      <c r="G435" s="36"/>
      <c r="H435" s="28"/>
    </row>
    <row r="436" spans="1:8" ht="13.2">
      <c r="A436" s="35"/>
      <c r="B436" s="19" t="str">
        <f>IFERROR(VLOOKUP(A436, Tasks!A$89:E$133,2, FALSE), "")</f>
        <v/>
      </c>
      <c r="C436" s="35"/>
      <c r="D436" s="35"/>
      <c r="E436" s="15"/>
      <c r="F436" s="15"/>
      <c r="G436" s="15"/>
      <c r="H436" s="23"/>
    </row>
    <row r="437" spans="1:8" ht="13.2">
      <c r="A437" s="34"/>
      <c r="B437" s="24" t="str">
        <f>IFERROR(VLOOKUP(A437, Tasks!A$89:E$133,2, FALSE), "")</f>
        <v/>
      </c>
      <c r="C437" s="34"/>
      <c r="D437" s="34"/>
      <c r="E437" s="36"/>
      <c r="F437" s="36"/>
      <c r="G437" s="36"/>
      <c r="H437" s="28"/>
    </row>
    <row r="438" spans="1:8" ht="13.2">
      <c r="A438" s="35"/>
      <c r="B438" s="19" t="str">
        <f>IFERROR(VLOOKUP(A438, Tasks!A$89:E$133,2, FALSE), "")</f>
        <v/>
      </c>
      <c r="C438" s="35"/>
      <c r="D438" s="35"/>
      <c r="E438" s="15"/>
      <c r="F438" s="15"/>
      <c r="G438" s="15"/>
      <c r="H438" s="23"/>
    </row>
    <row r="439" spans="1:8" ht="13.2">
      <c r="A439" s="34"/>
      <c r="B439" s="24" t="str">
        <f>IFERROR(VLOOKUP(A439, Tasks!A$89:E$133,2, FALSE), "")</f>
        <v/>
      </c>
      <c r="C439" s="34"/>
      <c r="D439" s="34"/>
      <c r="E439" s="36"/>
      <c r="F439" s="36"/>
      <c r="G439" s="36"/>
      <c r="H439" s="28"/>
    </row>
    <row r="440" spans="1:8" ht="13.2">
      <c r="A440" s="35"/>
      <c r="B440" s="19" t="str">
        <f>IFERROR(VLOOKUP(A440, Tasks!A$89:E$133,2, FALSE), "")</f>
        <v/>
      </c>
      <c r="C440" s="35"/>
      <c r="D440" s="35"/>
      <c r="E440" s="15"/>
      <c r="F440" s="15"/>
      <c r="G440" s="15"/>
      <c r="H440" s="23"/>
    </row>
    <row r="441" spans="1:8" ht="13.2">
      <c r="A441" s="34"/>
      <c r="B441" s="24" t="str">
        <f>IFERROR(VLOOKUP(A441, Tasks!A$89:E$133,2, FALSE), "")</f>
        <v/>
      </c>
      <c r="C441" s="34"/>
      <c r="D441" s="34"/>
      <c r="E441" s="36"/>
      <c r="F441" s="36"/>
      <c r="G441" s="36"/>
      <c r="H441" s="28"/>
    </row>
    <row r="442" spans="1:8" ht="13.2">
      <c r="A442" s="35"/>
      <c r="B442" s="19" t="str">
        <f>IFERROR(VLOOKUP(A442, Tasks!A$89:E$133,2, FALSE), "")</f>
        <v/>
      </c>
      <c r="C442" s="35"/>
      <c r="D442" s="35"/>
      <c r="E442" s="15"/>
      <c r="F442" s="15"/>
      <c r="G442" s="15"/>
      <c r="H442" s="23"/>
    </row>
    <row r="443" spans="1:8" ht="13.2">
      <c r="A443" s="34"/>
      <c r="B443" s="24" t="str">
        <f>IFERROR(VLOOKUP(A443, Tasks!A$89:E$133,2, FALSE), "")</f>
        <v/>
      </c>
      <c r="C443" s="34"/>
      <c r="D443" s="34"/>
      <c r="E443" s="36"/>
      <c r="F443" s="36"/>
      <c r="G443" s="36"/>
      <c r="H443" s="28"/>
    </row>
    <row r="444" spans="1:8" ht="13.2">
      <c r="A444" s="35"/>
      <c r="B444" s="19" t="str">
        <f>IFERROR(VLOOKUP(A444, Tasks!A$89:E$133,2, FALSE), "")</f>
        <v/>
      </c>
      <c r="C444" s="35"/>
      <c r="D444" s="35"/>
      <c r="E444" s="15"/>
      <c r="F444" s="15"/>
      <c r="G444" s="15"/>
      <c r="H444" s="23"/>
    </row>
    <row r="445" spans="1:8" ht="13.2">
      <c r="A445" s="34"/>
      <c r="B445" s="24" t="str">
        <f>IFERROR(VLOOKUP(A445, Tasks!A$89:E$133,2, FALSE), "")</f>
        <v/>
      </c>
      <c r="C445" s="34"/>
      <c r="D445" s="34"/>
      <c r="E445" s="36"/>
      <c r="F445" s="36"/>
      <c r="G445" s="36"/>
      <c r="H445" s="28"/>
    </row>
    <row r="446" spans="1:8" ht="13.2">
      <c r="A446" s="35"/>
      <c r="B446" s="19" t="str">
        <f>IFERROR(VLOOKUP(A446, Tasks!A$89:E$133,2, FALSE), "")</f>
        <v/>
      </c>
      <c r="C446" s="35"/>
      <c r="D446" s="35"/>
      <c r="E446" s="15"/>
      <c r="F446" s="15"/>
      <c r="G446" s="15"/>
      <c r="H446" s="23"/>
    </row>
    <row r="447" spans="1:8" ht="13.2">
      <c r="A447" s="34"/>
      <c r="B447" s="24" t="str">
        <f>IFERROR(VLOOKUP(A447, Tasks!A$89:E$133,2, FALSE), "")</f>
        <v/>
      </c>
      <c r="C447" s="34"/>
      <c r="D447" s="34"/>
      <c r="E447" s="36"/>
      <c r="F447" s="36"/>
      <c r="G447" s="36"/>
      <c r="H447" s="28"/>
    </row>
    <row r="448" spans="1:8" ht="13.2">
      <c r="A448" s="35"/>
      <c r="B448" s="19" t="str">
        <f>IFERROR(VLOOKUP(A448, Tasks!A$89:E$133,2, FALSE), "")</f>
        <v/>
      </c>
      <c r="C448" s="35"/>
      <c r="D448" s="35"/>
      <c r="E448" s="15"/>
      <c r="F448" s="15"/>
      <c r="G448" s="15"/>
      <c r="H448" s="23"/>
    </row>
    <row r="449" spans="1:8" ht="13.2">
      <c r="A449" s="34"/>
      <c r="B449" s="24" t="str">
        <f>IFERROR(VLOOKUP(A449, Tasks!A$89:E$133,2, FALSE), "")</f>
        <v/>
      </c>
      <c r="C449" s="34"/>
      <c r="D449" s="34"/>
      <c r="E449" s="36"/>
      <c r="F449" s="36"/>
      <c r="G449" s="36"/>
      <c r="H449" s="28"/>
    </row>
    <row r="450" spans="1:8" ht="13.2">
      <c r="A450" s="35"/>
      <c r="B450" s="19" t="str">
        <f>IFERROR(VLOOKUP(A450, Tasks!A$89:E$133,2, FALSE), "")</f>
        <v/>
      </c>
      <c r="C450" s="35"/>
      <c r="D450" s="35"/>
      <c r="E450" s="15"/>
      <c r="F450" s="15"/>
      <c r="G450" s="15"/>
      <c r="H450" s="23"/>
    </row>
    <row r="451" spans="1:8" ht="13.2">
      <c r="A451" s="34"/>
      <c r="B451" s="24" t="str">
        <f>IFERROR(VLOOKUP(A451, Tasks!A$89:E$133,2, FALSE), "")</f>
        <v/>
      </c>
      <c r="C451" s="34"/>
      <c r="D451" s="34"/>
      <c r="E451" s="36"/>
      <c r="F451" s="36"/>
      <c r="G451" s="36"/>
      <c r="H451" s="28"/>
    </row>
    <row r="452" spans="1:8" ht="13.2">
      <c r="A452" s="35"/>
      <c r="B452" s="19" t="str">
        <f>IFERROR(VLOOKUP(A452, Tasks!A$89:E$133,2, FALSE), "")</f>
        <v/>
      </c>
      <c r="C452" s="35"/>
      <c r="D452" s="35"/>
      <c r="E452" s="15"/>
      <c r="F452" s="15"/>
      <c r="G452" s="15"/>
      <c r="H452" s="23"/>
    </row>
    <row r="453" spans="1:8" ht="13.2">
      <c r="A453" s="34"/>
      <c r="B453" s="24" t="str">
        <f>IFERROR(VLOOKUP(A453, Tasks!A$89:E$133,2, FALSE), "")</f>
        <v/>
      </c>
      <c r="C453" s="34"/>
      <c r="D453" s="34"/>
      <c r="E453" s="36"/>
      <c r="F453" s="36"/>
      <c r="G453" s="36"/>
      <c r="H453" s="28"/>
    </row>
    <row r="454" spans="1:8" ht="13.2">
      <c r="A454" s="35"/>
      <c r="B454" s="19" t="str">
        <f>IFERROR(VLOOKUP(A454, Tasks!A$89:E$133,2, FALSE), "")</f>
        <v/>
      </c>
      <c r="C454" s="35"/>
      <c r="D454" s="35"/>
      <c r="E454" s="15"/>
      <c r="F454" s="15"/>
      <c r="G454" s="15"/>
      <c r="H454" s="23"/>
    </row>
    <row r="455" spans="1:8" ht="13.2">
      <c r="A455" s="34"/>
      <c r="B455" s="24" t="str">
        <f>IFERROR(VLOOKUP(A455, Tasks!A$89:E$133,2, FALSE), "")</f>
        <v/>
      </c>
      <c r="C455" s="34"/>
      <c r="D455" s="34"/>
      <c r="E455" s="36"/>
      <c r="F455" s="36"/>
      <c r="G455" s="36"/>
      <c r="H455" s="28"/>
    </row>
    <row r="456" spans="1:8" ht="13.2">
      <c r="A456" s="35"/>
      <c r="B456" s="19" t="str">
        <f>IFERROR(VLOOKUP(A456, Tasks!A$89:E$133,2, FALSE), "")</f>
        <v/>
      </c>
      <c r="C456" s="35"/>
      <c r="D456" s="35"/>
      <c r="E456" s="15"/>
      <c r="F456" s="15"/>
      <c r="G456" s="15"/>
      <c r="H456" s="23"/>
    </row>
    <row r="457" spans="1:8" ht="13.2">
      <c r="A457" s="34"/>
      <c r="B457" s="24" t="str">
        <f>IFERROR(VLOOKUP(A457, Tasks!A$89:E$133,2, FALSE), "")</f>
        <v/>
      </c>
      <c r="C457" s="34"/>
      <c r="D457" s="34"/>
      <c r="E457" s="36"/>
      <c r="F457" s="36"/>
      <c r="G457" s="36"/>
      <c r="H457" s="28"/>
    </row>
    <row r="458" spans="1:8" ht="13.2">
      <c r="A458" s="35"/>
      <c r="B458" s="19" t="str">
        <f>IFERROR(VLOOKUP(A458, Tasks!A$89:E$133,2, FALSE), "")</f>
        <v/>
      </c>
      <c r="C458" s="35"/>
      <c r="D458" s="35"/>
      <c r="E458" s="15"/>
      <c r="F458" s="15"/>
      <c r="G458" s="15"/>
      <c r="H458" s="23"/>
    </row>
    <row r="459" spans="1:8" ht="13.2">
      <c r="A459" s="34"/>
      <c r="B459" s="24" t="str">
        <f>IFERROR(VLOOKUP(A459, Tasks!A$89:E$133,2, FALSE), "")</f>
        <v/>
      </c>
      <c r="C459" s="34"/>
      <c r="D459" s="34"/>
      <c r="E459" s="36"/>
      <c r="F459" s="36"/>
      <c r="G459" s="36"/>
      <c r="H459" s="28"/>
    </row>
    <row r="460" spans="1:8" ht="13.2">
      <c r="A460" s="35"/>
      <c r="B460" s="19" t="str">
        <f>IFERROR(VLOOKUP(A460, Tasks!A$89:E$133,2, FALSE), "")</f>
        <v/>
      </c>
      <c r="C460" s="35"/>
      <c r="D460" s="35"/>
      <c r="E460" s="15"/>
      <c r="F460" s="15"/>
      <c r="G460" s="15"/>
      <c r="H460" s="23"/>
    </row>
    <row r="461" spans="1:8" ht="13.2">
      <c r="A461" s="34"/>
      <c r="B461" s="24" t="str">
        <f>IFERROR(VLOOKUP(A461, Tasks!A$89:E$133,2, FALSE), "")</f>
        <v/>
      </c>
      <c r="C461" s="34"/>
      <c r="D461" s="34"/>
      <c r="E461" s="36"/>
      <c r="F461" s="36"/>
      <c r="G461" s="36"/>
      <c r="H461" s="28"/>
    </row>
    <row r="462" spans="1:8" ht="13.2">
      <c r="A462" s="35"/>
      <c r="B462" s="19" t="str">
        <f>IFERROR(VLOOKUP(A462, Tasks!A$89:E$133,2, FALSE), "")</f>
        <v/>
      </c>
      <c r="C462" s="35"/>
      <c r="D462" s="35"/>
      <c r="E462" s="15"/>
      <c r="F462" s="15"/>
      <c r="G462" s="15"/>
      <c r="H462" s="23"/>
    </row>
    <row r="463" spans="1:8" ht="13.2">
      <c r="A463" s="34"/>
      <c r="B463" s="24" t="str">
        <f>IFERROR(VLOOKUP(A463, Tasks!A$89:E$133,2, FALSE), "")</f>
        <v/>
      </c>
      <c r="C463" s="34"/>
      <c r="D463" s="34"/>
      <c r="E463" s="36"/>
      <c r="F463" s="36"/>
      <c r="G463" s="36"/>
      <c r="H463" s="28"/>
    </row>
    <row r="464" spans="1:8" ht="13.2">
      <c r="A464" s="35"/>
      <c r="B464" s="19" t="str">
        <f>IFERROR(VLOOKUP(A464, Tasks!A$89:E$133,2, FALSE), "")</f>
        <v/>
      </c>
      <c r="C464" s="35"/>
      <c r="D464" s="35"/>
      <c r="E464" s="15"/>
      <c r="F464" s="15"/>
      <c r="G464" s="15"/>
      <c r="H464" s="23"/>
    </row>
    <row r="465" spans="1:8" ht="13.2">
      <c r="A465" s="34"/>
      <c r="B465" s="24" t="str">
        <f>IFERROR(VLOOKUP(A465, Tasks!A$89:E$133,2, FALSE), "")</f>
        <v/>
      </c>
      <c r="C465" s="34"/>
      <c r="D465" s="34"/>
      <c r="E465" s="36"/>
      <c r="F465" s="36"/>
      <c r="G465" s="36"/>
      <c r="H465" s="28"/>
    </row>
    <row r="466" spans="1:8" ht="13.2">
      <c r="A466" s="35"/>
      <c r="B466" s="19" t="str">
        <f>IFERROR(VLOOKUP(A466, Tasks!A$89:E$133,2, FALSE), "")</f>
        <v/>
      </c>
      <c r="C466" s="35"/>
      <c r="D466" s="35"/>
      <c r="E466" s="15"/>
      <c r="F466" s="15"/>
      <c r="G466" s="15"/>
      <c r="H466" s="23"/>
    </row>
    <row r="467" spans="1:8" ht="13.2">
      <c r="A467" s="34"/>
      <c r="B467" s="24" t="str">
        <f>IFERROR(VLOOKUP(A467, Tasks!A$89:E$133,2, FALSE), "")</f>
        <v/>
      </c>
      <c r="C467" s="34"/>
      <c r="D467" s="34"/>
      <c r="E467" s="36"/>
      <c r="F467" s="36"/>
      <c r="G467" s="36"/>
      <c r="H467" s="28"/>
    </row>
    <row r="468" spans="1:8" ht="13.2">
      <c r="A468" s="35"/>
      <c r="B468" s="19" t="str">
        <f>IFERROR(VLOOKUP(A468, Tasks!A$89:E$133,2, FALSE), "")</f>
        <v/>
      </c>
      <c r="C468" s="35"/>
      <c r="D468" s="35"/>
      <c r="E468" s="15"/>
      <c r="F468" s="15"/>
      <c r="G468" s="15"/>
      <c r="H468" s="23"/>
    </row>
    <row r="469" spans="1:8" ht="13.2">
      <c r="A469" s="34"/>
      <c r="B469" s="24" t="str">
        <f>IFERROR(VLOOKUP(A469, Tasks!A$89:E$133,2, FALSE), "")</f>
        <v/>
      </c>
      <c r="C469" s="34"/>
      <c r="D469" s="34"/>
      <c r="E469" s="36"/>
      <c r="F469" s="36"/>
      <c r="G469" s="36"/>
      <c r="H469" s="28"/>
    </row>
    <row r="470" spans="1:8" ht="13.2">
      <c r="A470" s="35"/>
      <c r="B470" s="19" t="str">
        <f>IFERROR(VLOOKUP(A470, Tasks!A$89:E$133,2, FALSE), "")</f>
        <v/>
      </c>
      <c r="C470" s="35"/>
      <c r="D470" s="35"/>
      <c r="E470" s="15"/>
      <c r="F470" s="15"/>
      <c r="G470" s="15"/>
      <c r="H470" s="23"/>
    </row>
    <row r="471" spans="1:8" ht="13.2">
      <c r="A471" s="34"/>
      <c r="B471" s="24" t="str">
        <f>IFERROR(VLOOKUP(A471, Tasks!A$89:E$133,2, FALSE), "")</f>
        <v/>
      </c>
      <c r="C471" s="34"/>
      <c r="D471" s="34"/>
      <c r="E471" s="36"/>
      <c r="F471" s="36"/>
      <c r="G471" s="36"/>
      <c r="H471" s="28"/>
    </row>
    <row r="472" spans="1:8" ht="13.2">
      <c r="A472" s="35"/>
      <c r="B472" s="19" t="str">
        <f>IFERROR(VLOOKUP(A472, Tasks!A$89:E$133,2, FALSE), "")</f>
        <v/>
      </c>
      <c r="C472" s="35"/>
      <c r="D472" s="35"/>
      <c r="E472" s="15"/>
      <c r="F472" s="15"/>
      <c r="G472" s="15"/>
      <c r="H472" s="23"/>
    </row>
    <row r="473" spans="1:8" ht="13.2">
      <c r="A473" s="34"/>
      <c r="B473" s="24" t="str">
        <f>IFERROR(VLOOKUP(A473, Tasks!A$89:E$133,2, FALSE), "")</f>
        <v/>
      </c>
      <c r="C473" s="34"/>
      <c r="D473" s="34"/>
      <c r="E473" s="36"/>
      <c r="F473" s="36"/>
      <c r="G473" s="36"/>
      <c r="H473" s="28"/>
    </row>
    <row r="474" spans="1:8" ht="13.2">
      <c r="A474" s="35"/>
      <c r="B474" s="19" t="str">
        <f>IFERROR(VLOOKUP(A474, Tasks!A$89:E$133,2, FALSE), "")</f>
        <v/>
      </c>
      <c r="C474" s="35"/>
      <c r="D474" s="35"/>
      <c r="E474" s="15"/>
      <c r="F474" s="15"/>
      <c r="G474" s="15"/>
      <c r="H474" s="23"/>
    </row>
    <row r="475" spans="1:8" ht="13.2">
      <c r="A475" s="34"/>
      <c r="B475" s="24" t="str">
        <f>IFERROR(VLOOKUP(A475, Tasks!A$89:E$133,2, FALSE), "")</f>
        <v/>
      </c>
      <c r="C475" s="34"/>
      <c r="D475" s="34"/>
      <c r="E475" s="36"/>
      <c r="F475" s="36"/>
      <c r="G475" s="36"/>
      <c r="H475" s="28"/>
    </row>
    <row r="476" spans="1:8" ht="13.2">
      <c r="A476" s="35"/>
      <c r="B476" s="19" t="str">
        <f>IFERROR(VLOOKUP(A476, Tasks!A$89:E$133,2, FALSE), "")</f>
        <v/>
      </c>
      <c r="C476" s="35"/>
      <c r="D476" s="35"/>
      <c r="E476" s="15"/>
      <c r="F476" s="15"/>
      <c r="G476" s="15"/>
      <c r="H476" s="23"/>
    </row>
    <row r="477" spans="1:8" ht="13.2">
      <c r="A477" s="34"/>
      <c r="B477" s="24" t="str">
        <f>IFERROR(VLOOKUP(A477, Tasks!A$89:E$133,2, FALSE), "")</f>
        <v/>
      </c>
      <c r="C477" s="34"/>
      <c r="D477" s="34"/>
      <c r="E477" s="36"/>
      <c r="F477" s="36"/>
      <c r="G477" s="36"/>
      <c r="H477" s="28"/>
    </row>
    <row r="478" spans="1:8" ht="13.2">
      <c r="A478" s="35"/>
      <c r="B478" s="19" t="str">
        <f>IFERROR(VLOOKUP(A478, Tasks!A$89:E$133,2, FALSE), "")</f>
        <v/>
      </c>
      <c r="C478" s="35"/>
      <c r="D478" s="35"/>
      <c r="E478" s="15"/>
      <c r="F478" s="15"/>
      <c r="G478" s="15"/>
      <c r="H478" s="23"/>
    </row>
    <row r="479" spans="1:8" ht="13.2">
      <c r="A479" s="34"/>
      <c r="B479" s="24" t="str">
        <f>IFERROR(VLOOKUP(A479, Tasks!A$89:E$133,2, FALSE), "")</f>
        <v/>
      </c>
      <c r="C479" s="34"/>
      <c r="D479" s="34"/>
      <c r="E479" s="36"/>
      <c r="F479" s="36"/>
      <c r="G479" s="36"/>
      <c r="H479" s="28"/>
    </row>
    <row r="480" spans="1:8" ht="13.2">
      <c r="A480" s="35"/>
      <c r="B480" s="19" t="str">
        <f>IFERROR(VLOOKUP(A480, Tasks!A$89:E$133,2, FALSE), "")</f>
        <v/>
      </c>
      <c r="C480" s="35"/>
      <c r="D480" s="35"/>
      <c r="E480" s="15"/>
      <c r="F480" s="15"/>
      <c r="G480" s="15"/>
      <c r="H480" s="23"/>
    </row>
    <row r="481" spans="1:8" ht="13.2">
      <c r="A481" s="34"/>
      <c r="B481" s="24" t="str">
        <f>IFERROR(VLOOKUP(A481, Tasks!A$89:E$133,2, FALSE), "")</f>
        <v/>
      </c>
      <c r="C481" s="34"/>
      <c r="D481" s="34"/>
      <c r="E481" s="36"/>
      <c r="F481" s="36"/>
      <c r="G481" s="36"/>
      <c r="H481" s="28"/>
    </row>
    <row r="482" spans="1:8" ht="13.2">
      <c r="A482" s="35"/>
      <c r="B482" s="19" t="str">
        <f>IFERROR(VLOOKUP(A482, Tasks!A$89:E$133,2, FALSE), "")</f>
        <v/>
      </c>
      <c r="C482" s="35"/>
      <c r="D482" s="35"/>
      <c r="E482" s="15"/>
      <c r="F482" s="15"/>
      <c r="G482" s="15"/>
      <c r="H482" s="23"/>
    </row>
    <row r="483" spans="1:8" ht="13.2">
      <c r="A483" s="34"/>
      <c r="B483" s="24" t="str">
        <f>IFERROR(VLOOKUP(A483, Tasks!A$89:E$133,2, FALSE), "")</f>
        <v/>
      </c>
      <c r="C483" s="34"/>
      <c r="D483" s="34"/>
      <c r="E483" s="36"/>
      <c r="F483" s="36"/>
      <c r="G483" s="36"/>
      <c r="H483" s="28"/>
    </row>
    <row r="484" spans="1:8" ht="13.2">
      <c r="A484" s="35"/>
      <c r="B484" s="19" t="str">
        <f>IFERROR(VLOOKUP(A484, Tasks!A$89:E$133,2, FALSE), "")</f>
        <v/>
      </c>
      <c r="C484" s="35"/>
      <c r="D484" s="35"/>
      <c r="E484" s="15"/>
      <c r="F484" s="15"/>
      <c r="G484" s="15"/>
      <c r="H484" s="23"/>
    </row>
    <row r="485" spans="1:8" ht="13.2">
      <c r="A485" s="34"/>
      <c r="B485" s="24" t="str">
        <f>IFERROR(VLOOKUP(A485, Tasks!A$89:E$133,2, FALSE), "")</f>
        <v/>
      </c>
      <c r="C485" s="34"/>
      <c r="D485" s="34"/>
      <c r="E485" s="36"/>
      <c r="F485" s="36"/>
      <c r="G485" s="36"/>
      <c r="H485" s="28"/>
    </row>
    <row r="486" spans="1:8" ht="13.2">
      <c r="A486" s="35"/>
      <c r="B486" s="19" t="str">
        <f>IFERROR(VLOOKUP(A486, Tasks!A$89:E$133,2, FALSE), "")</f>
        <v/>
      </c>
      <c r="C486" s="35"/>
      <c r="D486" s="35"/>
      <c r="E486" s="15"/>
      <c r="F486" s="15"/>
      <c r="G486" s="15"/>
      <c r="H486" s="23"/>
    </row>
    <row r="487" spans="1:8" ht="13.2">
      <c r="A487" s="34"/>
      <c r="B487" s="24" t="str">
        <f>IFERROR(VLOOKUP(A487, Tasks!A$89:E$133,2, FALSE), "")</f>
        <v/>
      </c>
      <c r="C487" s="34"/>
      <c r="D487" s="34"/>
      <c r="E487" s="36"/>
      <c r="F487" s="36"/>
      <c r="G487" s="36"/>
      <c r="H487" s="28"/>
    </row>
    <row r="488" spans="1:8" ht="13.2">
      <c r="A488" s="35"/>
      <c r="B488" s="19" t="str">
        <f>IFERROR(VLOOKUP(A488, Tasks!A$89:E$133,2, FALSE), "")</f>
        <v/>
      </c>
      <c r="C488" s="35"/>
      <c r="D488" s="35"/>
      <c r="E488" s="15"/>
      <c r="F488" s="15"/>
      <c r="G488" s="15"/>
      <c r="H488" s="23"/>
    </row>
    <row r="489" spans="1:8" ht="13.2">
      <c r="A489" s="34"/>
      <c r="B489" s="24" t="str">
        <f>IFERROR(VLOOKUP(A489, Tasks!A$89:E$133,2, FALSE), "")</f>
        <v/>
      </c>
      <c r="C489" s="34"/>
      <c r="D489" s="34"/>
      <c r="E489" s="36"/>
      <c r="F489" s="36"/>
      <c r="G489" s="36"/>
      <c r="H489" s="28"/>
    </row>
    <row r="490" spans="1:8" ht="13.2">
      <c r="A490" s="35"/>
      <c r="B490" s="19" t="str">
        <f>IFERROR(VLOOKUP(A490, Tasks!A$89:E$133,2, FALSE), "")</f>
        <v/>
      </c>
      <c r="C490" s="35"/>
      <c r="D490" s="35"/>
      <c r="E490" s="15"/>
      <c r="F490" s="15"/>
      <c r="G490" s="15"/>
      <c r="H490" s="23"/>
    </row>
    <row r="491" spans="1:8" ht="13.2">
      <c r="A491" s="34"/>
      <c r="B491" s="24" t="str">
        <f>IFERROR(VLOOKUP(A491, Tasks!A$89:E$133,2, FALSE), "")</f>
        <v/>
      </c>
      <c r="C491" s="34"/>
      <c r="D491" s="34"/>
      <c r="E491" s="36"/>
      <c r="F491" s="36"/>
      <c r="G491" s="36"/>
      <c r="H491" s="28"/>
    </row>
    <row r="492" spans="1:8" ht="13.2">
      <c r="A492" s="35"/>
      <c r="B492" s="19" t="str">
        <f>IFERROR(VLOOKUP(A492, Tasks!A$89:E$133,2, FALSE), "")</f>
        <v/>
      </c>
      <c r="C492" s="35"/>
      <c r="D492" s="35"/>
      <c r="E492" s="15"/>
      <c r="F492" s="15"/>
      <c r="G492" s="15"/>
      <c r="H492" s="23"/>
    </row>
    <row r="493" spans="1:8" ht="13.2">
      <c r="A493" s="34"/>
      <c r="B493" s="24" t="str">
        <f>IFERROR(VLOOKUP(A493, Tasks!A$89:E$133,2, FALSE), "")</f>
        <v/>
      </c>
      <c r="C493" s="34"/>
      <c r="D493" s="34"/>
      <c r="E493" s="36"/>
      <c r="F493" s="36"/>
      <c r="G493" s="36"/>
      <c r="H493" s="28"/>
    </row>
    <row r="494" spans="1:8" ht="13.2">
      <c r="A494" s="35"/>
      <c r="B494" s="19" t="str">
        <f>IFERROR(VLOOKUP(A494, Tasks!A$89:E$133,2, FALSE), "")</f>
        <v/>
      </c>
      <c r="C494" s="35"/>
      <c r="D494" s="35"/>
      <c r="E494" s="15"/>
      <c r="F494" s="15"/>
      <c r="G494" s="15"/>
      <c r="H494" s="23"/>
    </row>
    <row r="495" spans="1:8" ht="13.2">
      <c r="A495" s="34"/>
      <c r="B495" s="24" t="str">
        <f>IFERROR(VLOOKUP(A495, Tasks!A$89:E$133,2, FALSE), "")</f>
        <v/>
      </c>
      <c r="C495" s="34"/>
      <c r="D495" s="34"/>
      <c r="E495" s="36"/>
      <c r="F495" s="36"/>
      <c r="G495" s="36"/>
      <c r="H495" s="28"/>
    </row>
    <row r="496" spans="1:8" ht="13.2">
      <c r="A496" s="35"/>
      <c r="B496" s="19" t="str">
        <f>IFERROR(VLOOKUP(A496, Tasks!A$89:E$133,2, FALSE), "")</f>
        <v/>
      </c>
      <c r="C496" s="35"/>
      <c r="D496" s="35"/>
      <c r="E496" s="15"/>
      <c r="F496" s="15"/>
      <c r="G496" s="15"/>
      <c r="H496" s="23"/>
    </row>
    <row r="497" spans="1:8" ht="13.2">
      <c r="A497" s="34"/>
      <c r="B497" s="24" t="str">
        <f>IFERROR(VLOOKUP(A497, Tasks!A$89:E$133,2, FALSE), "")</f>
        <v/>
      </c>
      <c r="C497" s="34"/>
      <c r="D497" s="34"/>
      <c r="E497" s="36"/>
      <c r="F497" s="36"/>
      <c r="G497" s="36"/>
      <c r="H497" s="28"/>
    </row>
    <row r="498" spans="1:8" ht="13.2">
      <c r="A498" s="35"/>
      <c r="B498" s="19" t="str">
        <f>IFERROR(VLOOKUP(A498, Tasks!A$89:E$133,2, FALSE), "")</f>
        <v/>
      </c>
      <c r="C498" s="35"/>
      <c r="D498" s="35"/>
      <c r="E498" s="15"/>
      <c r="F498" s="15"/>
      <c r="G498" s="15"/>
      <c r="H498" s="23"/>
    </row>
    <row r="499" spans="1:8" ht="13.2">
      <c r="A499" s="34"/>
      <c r="B499" s="24" t="str">
        <f>IFERROR(VLOOKUP(A499, Tasks!A$89:E$133,2, FALSE), "")</f>
        <v/>
      </c>
      <c r="C499" s="34"/>
      <c r="D499" s="34"/>
      <c r="E499" s="36"/>
      <c r="F499" s="36"/>
      <c r="G499" s="36"/>
      <c r="H499" s="28"/>
    </row>
    <row r="500" spans="1:8" ht="13.2">
      <c r="A500" s="35"/>
      <c r="B500" s="19" t="str">
        <f>IFERROR(VLOOKUP(A500, Tasks!A$89:E$133,2, FALSE), "")</f>
        <v/>
      </c>
      <c r="C500" s="35"/>
      <c r="D500" s="35"/>
      <c r="E500" s="15"/>
      <c r="F500" s="15"/>
      <c r="G500" s="15"/>
      <c r="H500" s="23"/>
    </row>
    <row r="501" spans="1:8" ht="13.2">
      <c r="A501" s="34"/>
      <c r="B501" s="24" t="str">
        <f>IFERROR(VLOOKUP(A501, Tasks!A$89:E$133,2, FALSE), "")</f>
        <v/>
      </c>
      <c r="C501" s="34"/>
      <c r="D501" s="34"/>
      <c r="E501" s="36"/>
      <c r="F501" s="36"/>
      <c r="G501" s="36"/>
      <c r="H501" s="28"/>
    </row>
    <row r="502" spans="1:8" ht="13.2">
      <c r="A502" s="35"/>
      <c r="B502" s="19" t="str">
        <f>IFERROR(VLOOKUP(A502, Tasks!A$89:E$133,2, FALSE), "")</f>
        <v/>
      </c>
      <c r="C502" s="35"/>
      <c r="D502" s="35"/>
      <c r="E502" s="15"/>
      <c r="F502" s="15"/>
      <c r="G502" s="15"/>
      <c r="H502" s="23"/>
    </row>
    <row r="503" spans="1:8" ht="13.2">
      <c r="A503" s="34"/>
      <c r="B503" s="24" t="str">
        <f>IFERROR(VLOOKUP(A503, Tasks!A$89:E$133,2, FALSE), "")</f>
        <v/>
      </c>
      <c r="C503" s="34"/>
      <c r="D503" s="34"/>
      <c r="E503" s="36"/>
      <c r="F503" s="36"/>
      <c r="G503" s="36"/>
      <c r="H503" s="28"/>
    </row>
    <row r="504" spans="1:8" ht="13.2">
      <c r="A504" s="35"/>
      <c r="B504" s="19" t="str">
        <f>IFERROR(VLOOKUP(A504, Tasks!A$89:E$133,2, FALSE), "")</f>
        <v/>
      </c>
      <c r="C504" s="35"/>
      <c r="D504" s="35"/>
      <c r="E504" s="15"/>
      <c r="F504" s="15"/>
      <c r="G504" s="15"/>
      <c r="H504" s="23"/>
    </row>
    <row r="505" spans="1:8" ht="13.2">
      <c r="A505" s="34"/>
      <c r="B505" s="24" t="str">
        <f>IFERROR(VLOOKUP(A505, Tasks!A$89:E$133,2, FALSE), "")</f>
        <v/>
      </c>
      <c r="C505" s="34"/>
      <c r="D505" s="34"/>
      <c r="E505" s="36"/>
      <c r="F505" s="36"/>
      <c r="G505" s="36"/>
      <c r="H505" s="28"/>
    </row>
    <row r="506" spans="1:8" ht="13.2">
      <c r="A506" s="35"/>
      <c r="B506" s="19" t="str">
        <f>IFERROR(VLOOKUP(A506, Tasks!A$89:E$133,2, FALSE), "")</f>
        <v/>
      </c>
      <c r="C506" s="35"/>
      <c r="D506" s="35"/>
      <c r="E506" s="15"/>
      <c r="F506" s="15"/>
      <c r="G506" s="15"/>
      <c r="H506" s="23"/>
    </row>
    <row r="507" spans="1:8" ht="13.2">
      <c r="A507" s="34"/>
      <c r="B507" s="24" t="str">
        <f>IFERROR(VLOOKUP(A507, Tasks!A$89:E$133,2, FALSE), "")</f>
        <v/>
      </c>
      <c r="C507" s="34"/>
      <c r="D507" s="34"/>
      <c r="E507" s="36"/>
      <c r="F507" s="36"/>
      <c r="G507" s="36"/>
      <c r="H507" s="28"/>
    </row>
    <row r="508" spans="1:8" ht="13.2">
      <c r="A508" s="35"/>
      <c r="B508" s="19" t="str">
        <f>IFERROR(VLOOKUP(A508, Tasks!A$89:E$133,2, FALSE), "")</f>
        <v/>
      </c>
      <c r="C508" s="35"/>
      <c r="D508" s="35"/>
      <c r="E508" s="15"/>
      <c r="F508" s="15"/>
      <c r="G508" s="15"/>
      <c r="H508" s="23"/>
    </row>
    <row r="509" spans="1:8" ht="13.2">
      <c r="A509" s="34"/>
      <c r="B509" s="24" t="str">
        <f>IFERROR(VLOOKUP(A509, Tasks!A$89:E$133,2, FALSE), "")</f>
        <v/>
      </c>
      <c r="C509" s="34"/>
      <c r="D509" s="34"/>
      <c r="E509" s="36"/>
      <c r="F509" s="36"/>
      <c r="G509" s="36"/>
      <c r="H509" s="28"/>
    </row>
    <row r="510" spans="1:8" ht="13.2">
      <c r="A510" s="35"/>
      <c r="B510" s="19" t="str">
        <f>IFERROR(VLOOKUP(A510, Tasks!A$89:E$133,2, FALSE), "")</f>
        <v/>
      </c>
      <c r="C510" s="35"/>
      <c r="D510" s="35"/>
      <c r="E510" s="15"/>
      <c r="F510" s="15"/>
      <c r="G510" s="15"/>
      <c r="H510" s="23"/>
    </row>
    <row r="511" spans="1:8" ht="13.2">
      <c r="A511" s="34"/>
      <c r="B511" s="24" t="str">
        <f>IFERROR(VLOOKUP(A511, Tasks!A$89:E$133,2, FALSE), "")</f>
        <v/>
      </c>
      <c r="C511" s="34"/>
      <c r="D511" s="34"/>
      <c r="E511" s="36"/>
      <c r="F511" s="36"/>
      <c r="G511" s="36"/>
      <c r="H511" s="28"/>
    </row>
    <row r="512" spans="1:8" ht="13.2">
      <c r="A512" s="35"/>
      <c r="B512" s="19" t="str">
        <f>IFERROR(VLOOKUP(A512, Tasks!A$89:E$133,2, FALSE), "")</f>
        <v/>
      </c>
      <c r="C512" s="35"/>
      <c r="D512" s="35"/>
      <c r="E512" s="15"/>
      <c r="F512" s="15"/>
      <c r="G512" s="15"/>
      <c r="H512" s="23"/>
    </row>
    <row r="513" spans="1:8" ht="13.2">
      <c r="A513" s="34"/>
      <c r="B513" s="24" t="str">
        <f>IFERROR(VLOOKUP(A513, Tasks!A$89:E$133,2, FALSE), "")</f>
        <v/>
      </c>
      <c r="C513" s="34"/>
      <c r="D513" s="34"/>
      <c r="E513" s="36"/>
      <c r="F513" s="36"/>
      <c r="G513" s="36"/>
      <c r="H513" s="28"/>
    </row>
    <row r="514" spans="1:8" ht="13.2">
      <c r="A514" s="35"/>
      <c r="B514" s="19" t="str">
        <f>IFERROR(VLOOKUP(A514, Tasks!A$89:E$133,2, FALSE), "")</f>
        <v/>
      </c>
      <c r="C514" s="35"/>
      <c r="D514" s="35"/>
      <c r="E514" s="15"/>
      <c r="F514" s="15"/>
      <c r="G514" s="15"/>
      <c r="H514" s="23"/>
    </row>
    <row r="515" spans="1:8" ht="13.2">
      <c r="A515" s="34"/>
      <c r="B515" s="24" t="str">
        <f>IFERROR(VLOOKUP(A515, Tasks!A$89:E$133,2, FALSE), "")</f>
        <v/>
      </c>
      <c r="C515" s="34"/>
      <c r="D515" s="34"/>
      <c r="E515" s="36"/>
      <c r="F515" s="36"/>
      <c r="G515" s="36"/>
      <c r="H515" s="28"/>
    </row>
    <row r="516" spans="1:8" ht="13.2">
      <c r="A516" s="35"/>
      <c r="B516" s="19" t="str">
        <f>IFERROR(VLOOKUP(A516, Tasks!A$89:E$133,2, FALSE), "")</f>
        <v/>
      </c>
      <c r="C516" s="35"/>
      <c r="D516" s="35"/>
      <c r="E516" s="15"/>
      <c r="F516" s="15"/>
      <c r="G516" s="15"/>
      <c r="H516" s="23"/>
    </row>
    <row r="517" spans="1:8" ht="13.2">
      <c r="A517" s="34"/>
      <c r="B517" s="24" t="str">
        <f>IFERROR(VLOOKUP(A517, Tasks!A$89:E$133,2, FALSE), "")</f>
        <v/>
      </c>
      <c r="C517" s="34"/>
      <c r="D517" s="34"/>
      <c r="E517" s="36"/>
      <c r="F517" s="36"/>
      <c r="G517" s="36"/>
      <c r="H517" s="28"/>
    </row>
    <row r="518" spans="1:8" ht="13.2">
      <c r="A518" s="35"/>
      <c r="B518" s="19" t="str">
        <f>IFERROR(VLOOKUP(A518, Tasks!A$89:E$133,2, FALSE), "")</f>
        <v/>
      </c>
      <c r="C518" s="35"/>
      <c r="D518" s="35"/>
      <c r="E518" s="15"/>
      <c r="F518" s="15"/>
      <c r="G518" s="15"/>
      <c r="H518" s="23"/>
    </row>
    <row r="519" spans="1:8" ht="13.2">
      <c r="A519" s="34"/>
      <c r="B519" s="24" t="str">
        <f>IFERROR(VLOOKUP(A519, Tasks!A$89:E$133,2, FALSE), "")</f>
        <v/>
      </c>
      <c r="C519" s="34"/>
      <c r="D519" s="34"/>
      <c r="E519" s="36"/>
      <c r="F519" s="36"/>
      <c r="G519" s="36"/>
      <c r="H519" s="28"/>
    </row>
    <row r="520" spans="1:8" ht="13.2">
      <c r="A520" s="35"/>
      <c r="B520" s="19" t="str">
        <f>IFERROR(VLOOKUP(A520, Tasks!A$89:E$133,2, FALSE), "")</f>
        <v/>
      </c>
      <c r="C520" s="35"/>
      <c r="D520" s="35"/>
      <c r="E520" s="15"/>
      <c r="F520" s="15"/>
      <c r="G520" s="15"/>
      <c r="H520" s="23"/>
    </row>
    <row r="521" spans="1:8" ht="13.2">
      <c r="A521" s="34"/>
      <c r="B521" s="24" t="str">
        <f>IFERROR(VLOOKUP(A521, Tasks!A$89:E$133,2, FALSE), "")</f>
        <v/>
      </c>
      <c r="C521" s="34"/>
      <c r="D521" s="34"/>
      <c r="E521" s="36"/>
      <c r="F521" s="36"/>
      <c r="G521" s="36"/>
      <c r="H521" s="28"/>
    </row>
    <row r="522" spans="1:8" ht="13.2">
      <c r="A522" s="35"/>
      <c r="B522" s="19" t="str">
        <f>IFERROR(VLOOKUP(A522, Tasks!A$89:E$133,2, FALSE), "")</f>
        <v/>
      </c>
      <c r="C522" s="35"/>
      <c r="D522" s="35"/>
      <c r="E522" s="15"/>
      <c r="F522" s="15"/>
      <c r="G522" s="15"/>
      <c r="H522" s="23"/>
    </row>
    <row r="523" spans="1:8" ht="13.2">
      <c r="A523" s="34"/>
      <c r="B523" s="24" t="str">
        <f>IFERROR(VLOOKUP(A523, Tasks!A$89:E$133,2, FALSE), "")</f>
        <v/>
      </c>
      <c r="C523" s="34"/>
      <c r="D523" s="34"/>
      <c r="E523" s="36"/>
      <c r="F523" s="36"/>
      <c r="G523" s="36"/>
      <c r="H523" s="28"/>
    </row>
    <row r="524" spans="1:8" ht="13.2">
      <c r="A524" s="35"/>
      <c r="B524" s="19" t="str">
        <f>IFERROR(VLOOKUP(A524, Tasks!A$89:E$133,2, FALSE), "")</f>
        <v/>
      </c>
      <c r="C524" s="35"/>
      <c r="D524" s="35"/>
      <c r="E524" s="15"/>
      <c r="F524" s="15"/>
      <c r="G524" s="15"/>
      <c r="H524" s="23"/>
    </row>
    <row r="525" spans="1:8" ht="13.2">
      <c r="A525" s="34"/>
      <c r="B525" s="24" t="str">
        <f>IFERROR(VLOOKUP(A525, Tasks!A$89:E$133,2, FALSE), "")</f>
        <v/>
      </c>
      <c r="C525" s="34"/>
      <c r="D525" s="34"/>
      <c r="E525" s="36"/>
      <c r="F525" s="36"/>
      <c r="G525" s="36"/>
      <c r="H525" s="28"/>
    </row>
    <row r="526" spans="1:8" ht="13.2">
      <c r="A526" s="35"/>
      <c r="B526" s="19" t="str">
        <f>IFERROR(VLOOKUP(A526, Tasks!A$89:E$133,2, FALSE), "")</f>
        <v/>
      </c>
      <c r="C526" s="35"/>
      <c r="D526" s="35"/>
      <c r="E526" s="15"/>
      <c r="F526" s="15"/>
      <c r="G526" s="15"/>
      <c r="H526" s="23"/>
    </row>
    <row r="527" spans="1:8" ht="13.2">
      <c r="A527" s="34"/>
      <c r="B527" s="24" t="str">
        <f>IFERROR(VLOOKUP(A527, Tasks!A$89:E$133,2, FALSE), "")</f>
        <v/>
      </c>
      <c r="C527" s="34"/>
      <c r="D527" s="34"/>
      <c r="E527" s="36"/>
      <c r="F527" s="36"/>
      <c r="G527" s="36"/>
      <c r="H527" s="28"/>
    </row>
    <row r="528" spans="1:8" ht="13.2">
      <c r="A528" s="35"/>
      <c r="B528" s="19" t="str">
        <f>IFERROR(VLOOKUP(A528, Tasks!A$89:E$133,2, FALSE), "")</f>
        <v/>
      </c>
      <c r="C528" s="35"/>
      <c r="D528" s="35"/>
      <c r="E528" s="15"/>
      <c r="F528" s="15"/>
      <c r="G528" s="15"/>
      <c r="H528" s="23"/>
    </row>
    <row r="529" spans="1:8" ht="13.2">
      <c r="A529" s="34"/>
      <c r="B529" s="24" t="str">
        <f>IFERROR(VLOOKUP(A529, Tasks!A$89:E$133,2, FALSE), "")</f>
        <v/>
      </c>
      <c r="C529" s="34"/>
      <c r="D529" s="34"/>
      <c r="E529" s="36"/>
      <c r="F529" s="36"/>
      <c r="G529" s="36"/>
      <c r="H529" s="28"/>
    </row>
    <row r="530" spans="1:8" ht="13.2">
      <c r="A530" s="35"/>
      <c r="B530" s="19" t="str">
        <f>IFERROR(VLOOKUP(A530, Tasks!A$89:E$133,2, FALSE), "")</f>
        <v/>
      </c>
      <c r="C530" s="35"/>
      <c r="D530" s="35"/>
      <c r="E530" s="15"/>
      <c r="F530" s="15"/>
      <c r="G530" s="15"/>
      <c r="H530" s="23"/>
    </row>
    <row r="531" spans="1:8" ht="13.2">
      <c r="A531" s="34"/>
      <c r="B531" s="24" t="str">
        <f>IFERROR(VLOOKUP(A531, Tasks!A$89:E$133,2, FALSE), "")</f>
        <v/>
      </c>
      <c r="C531" s="34"/>
      <c r="D531" s="34"/>
      <c r="E531" s="36"/>
      <c r="F531" s="36"/>
      <c r="G531" s="36"/>
      <c r="H531" s="28"/>
    </row>
    <row r="532" spans="1:8" ht="13.2">
      <c r="A532" s="35"/>
      <c r="B532" s="19" t="str">
        <f>IFERROR(VLOOKUP(A532, Tasks!A$89:E$133,2, FALSE), "")</f>
        <v/>
      </c>
      <c r="C532" s="35"/>
      <c r="D532" s="35"/>
      <c r="E532" s="15"/>
      <c r="F532" s="15"/>
      <c r="G532" s="15"/>
      <c r="H532" s="23"/>
    </row>
    <row r="533" spans="1:8" ht="13.2">
      <c r="A533" s="34"/>
      <c r="B533" s="24" t="str">
        <f>IFERROR(VLOOKUP(A533, Tasks!A$89:E$133,2, FALSE), "")</f>
        <v/>
      </c>
      <c r="C533" s="34"/>
      <c r="D533" s="34"/>
      <c r="E533" s="36"/>
      <c r="F533" s="36"/>
      <c r="G533" s="36"/>
      <c r="H533" s="28"/>
    </row>
    <row r="534" spans="1:8" ht="13.2">
      <c r="A534" s="35"/>
      <c r="B534" s="19" t="str">
        <f>IFERROR(VLOOKUP(A534, Tasks!A$89:E$133,2, FALSE), "")</f>
        <v/>
      </c>
      <c r="C534" s="35"/>
      <c r="D534" s="35"/>
      <c r="E534" s="15"/>
      <c r="F534" s="15"/>
      <c r="G534" s="15"/>
      <c r="H534" s="23"/>
    </row>
    <row r="535" spans="1:8" ht="13.2">
      <c r="A535" s="34"/>
      <c r="B535" s="24" t="str">
        <f>IFERROR(VLOOKUP(A535, Tasks!A$89:E$133,2, FALSE), "")</f>
        <v/>
      </c>
      <c r="C535" s="34"/>
      <c r="D535" s="34"/>
      <c r="E535" s="36"/>
      <c r="F535" s="36"/>
      <c r="G535" s="36"/>
      <c r="H535" s="28"/>
    </row>
    <row r="536" spans="1:8" ht="13.2">
      <c r="A536" s="35"/>
      <c r="B536" s="19" t="str">
        <f>IFERROR(VLOOKUP(A536, Tasks!A$89:E$133,2, FALSE), "")</f>
        <v/>
      </c>
      <c r="C536" s="35"/>
      <c r="D536" s="35"/>
      <c r="E536" s="15"/>
      <c r="F536" s="15"/>
      <c r="G536" s="15"/>
      <c r="H536" s="23"/>
    </row>
    <row r="537" spans="1:8" ht="13.2">
      <c r="A537" s="34"/>
      <c r="B537" s="24" t="str">
        <f>IFERROR(VLOOKUP(A537, Tasks!A$89:E$133,2, FALSE), "")</f>
        <v/>
      </c>
      <c r="C537" s="34"/>
      <c r="D537" s="34"/>
      <c r="E537" s="36"/>
      <c r="F537" s="36"/>
      <c r="G537" s="36"/>
      <c r="H537" s="28"/>
    </row>
    <row r="538" spans="1:8" ht="13.2">
      <c r="A538" s="35"/>
      <c r="B538" s="19" t="str">
        <f>IFERROR(VLOOKUP(A538, Tasks!A$89:E$133,2, FALSE), "")</f>
        <v/>
      </c>
      <c r="C538" s="35"/>
      <c r="D538" s="35"/>
      <c r="E538" s="15"/>
      <c r="F538" s="15"/>
      <c r="G538" s="15"/>
      <c r="H538" s="23"/>
    </row>
    <row r="539" spans="1:8" ht="13.2">
      <c r="A539" s="34"/>
      <c r="B539" s="24" t="str">
        <f>IFERROR(VLOOKUP(A539, Tasks!A$89:E$133,2, FALSE), "")</f>
        <v/>
      </c>
      <c r="C539" s="34"/>
      <c r="D539" s="34"/>
      <c r="E539" s="36"/>
      <c r="F539" s="36"/>
      <c r="G539" s="36"/>
      <c r="H539" s="28"/>
    </row>
    <row r="540" spans="1:8" ht="13.2">
      <c r="A540" s="35"/>
      <c r="B540" s="19" t="str">
        <f>IFERROR(VLOOKUP(A540, Tasks!A$89:E$133,2, FALSE), "")</f>
        <v/>
      </c>
      <c r="C540" s="35"/>
      <c r="D540" s="35"/>
      <c r="E540" s="15"/>
      <c r="F540" s="15"/>
      <c r="G540" s="15"/>
      <c r="H540" s="23"/>
    </row>
    <row r="541" spans="1:8" ht="13.2">
      <c r="A541" s="34"/>
      <c r="B541" s="24" t="str">
        <f>IFERROR(VLOOKUP(A541, Tasks!A$89:E$133,2, FALSE), "")</f>
        <v/>
      </c>
      <c r="C541" s="34"/>
      <c r="D541" s="34"/>
      <c r="E541" s="36"/>
      <c r="F541" s="36"/>
      <c r="G541" s="36"/>
      <c r="H541" s="28"/>
    </row>
    <row r="542" spans="1:8" ht="13.2">
      <c r="A542" s="35"/>
      <c r="B542" s="19" t="str">
        <f>IFERROR(VLOOKUP(A542, Tasks!A$89:E$133,2, FALSE), "")</f>
        <v/>
      </c>
      <c r="C542" s="35"/>
      <c r="D542" s="35"/>
      <c r="E542" s="15"/>
      <c r="F542" s="15"/>
      <c r="G542" s="15"/>
      <c r="H542" s="23"/>
    </row>
    <row r="543" spans="1:8" ht="13.2">
      <c r="A543" s="34"/>
      <c r="B543" s="24" t="str">
        <f>IFERROR(VLOOKUP(A543, Tasks!A$89:E$133,2, FALSE), "")</f>
        <v/>
      </c>
      <c r="C543" s="34"/>
      <c r="D543" s="34"/>
      <c r="E543" s="36"/>
      <c r="F543" s="36"/>
      <c r="G543" s="36"/>
      <c r="H543" s="28"/>
    </row>
    <row r="544" spans="1:8" ht="13.2">
      <c r="A544" s="35"/>
      <c r="B544" s="19" t="str">
        <f>IFERROR(VLOOKUP(A544, Tasks!A$89:E$133,2, FALSE), "")</f>
        <v/>
      </c>
      <c r="C544" s="35"/>
      <c r="D544" s="35"/>
      <c r="E544" s="15"/>
      <c r="F544" s="15"/>
      <c r="G544" s="15"/>
      <c r="H544" s="23"/>
    </row>
    <row r="545" spans="1:8" ht="13.2">
      <c r="A545" s="34"/>
      <c r="B545" s="24" t="str">
        <f>IFERROR(VLOOKUP(A545, Tasks!A$89:E$133,2, FALSE), "")</f>
        <v/>
      </c>
      <c r="C545" s="34"/>
      <c r="D545" s="34"/>
      <c r="E545" s="36"/>
      <c r="F545" s="36"/>
      <c r="G545" s="36"/>
      <c r="H545" s="28"/>
    </row>
    <row r="546" spans="1:8" ht="13.2">
      <c r="A546" s="35"/>
      <c r="B546" s="19" t="str">
        <f>IFERROR(VLOOKUP(A546, Tasks!A$89:E$133,2, FALSE), "")</f>
        <v/>
      </c>
      <c r="C546" s="35"/>
      <c r="D546" s="35"/>
      <c r="E546" s="15"/>
      <c r="F546" s="15"/>
      <c r="G546" s="15"/>
      <c r="H546" s="23"/>
    </row>
    <row r="547" spans="1:8" ht="13.2">
      <c r="A547" s="34"/>
      <c r="B547" s="24" t="str">
        <f>IFERROR(VLOOKUP(A547, Tasks!A$89:E$133,2, FALSE), "")</f>
        <v/>
      </c>
      <c r="C547" s="34"/>
      <c r="D547" s="34"/>
      <c r="E547" s="36"/>
      <c r="F547" s="36"/>
      <c r="G547" s="36"/>
      <c r="H547" s="28"/>
    </row>
    <row r="548" spans="1:8" ht="13.2">
      <c r="A548" s="35"/>
      <c r="B548" s="19" t="str">
        <f>IFERROR(VLOOKUP(A548, Tasks!A$89:E$133,2, FALSE), "")</f>
        <v/>
      </c>
      <c r="C548" s="35"/>
      <c r="D548" s="35"/>
      <c r="E548" s="15"/>
      <c r="F548" s="15"/>
      <c r="G548" s="15"/>
      <c r="H548" s="23"/>
    </row>
    <row r="549" spans="1:8" ht="13.2">
      <c r="A549" s="34"/>
      <c r="B549" s="24" t="str">
        <f>IFERROR(VLOOKUP(A549, Tasks!A$89:E$133,2, FALSE), "")</f>
        <v/>
      </c>
      <c r="C549" s="34"/>
      <c r="D549" s="34"/>
      <c r="E549" s="36"/>
      <c r="F549" s="36"/>
      <c r="G549" s="36"/>
      <c r="H549" s="28"/>
    </row>
    <row r="550" spans="1:8" ht="13.2">
      <c r="A550" s="35"/>
      <c r="B550" s="19" t="str">
        <f>IFERROR(VLOOKUP(A550, Tasks!A$89:E$133,2, FALSE), "")</f>
        <v/>
      </c>
      <c r="C550" s="35"/>
      <c r="D550" s="35"/>
      <c r="E550" s="15"/>
      <c r="F550" s="15"/>
      <c r="G550" s="15"/>
      <c r="H550" s="23"/>
    </row>
    <row r="551" spans="1:8" ht="13.2">
      <c r="A551" s="34"/>
      <c r="B551" s="24" t="str">
        <f>IFERROR(VLOOKUP(A551, Tasks!A$89:E$133,2, FALSE), "")</f>
        <v/>
      </c>
      <c r="C551" s="34"/>
      <c r="D551" s="34"/>
      <c r="E551" s="36"/>
      <c r="F551" s="36"/>
      <c r="G551" s="36"/>
      <c r="H551" s="28"/>
    </row>
    <row r="552" spans="1:8" ht="13.2">
      <c r="A552" s="35"/>
      <c r="B552" s="19" t="str">
        <f>IFERROR(VLOOKUP(A552, Tasks!A$89:E$133,2, FALSE), "")</f>
        <v/>
      </c>
      <c r="C552" s="35"/>
      <c r="D552" s="35"/>
      <c r="E552" s="15"/>
      <c r="F552" s="15"/>
      <c r="G552" s="15"/>
      <c r="H552" s="23"/>
    </row>
    <row r="553" spans="1:8" ht="13.2">
      <c r="A553" s="34"/>
      <c r="B553" s="24" t="str">
        <f>IFERROR(VLOOKUP(A553, Tasks!A$89:E$133,2, FALSE), "")</f>
        <v/>
      </c>
      <c r="C553" s="34"/>
      <c r="D553" s="34"/>
      <c r="E553" s="36"/>
      <c r="F553" s="36"/>
      <c r="G553" s="36"/>
      <c r="H553" s="28"/>
    </row>
    <row r="554" spans="1:8" ht="13.2">
      <c r="A554" s="35"/>
      <c r="B554" s="19" t="str">
        <f>IFERROR(VLOOKUP(A554, Tasks!A$89:E$133,2, FALSE), "")</f>
        <v/>
      </c>
      <c r="C554" s="35"/>
      <c r="D554" s="35"/>
      <c r="E554" s="15"/>
      <c r="F554" s="15"/>
      <c r="G554" s="15"/>
      <c r="H554" s="23"/>
    </row>
    <row r="555" spans="1:8" ht="13.2">
      <c r="A555" s="34"/>
      <c r="B555" s="24" t="str">
        <f>IFERROR(VLOOKUP(A555, Tasks!A$89:E$133,2, FALSE), "")</f>
        <v/>
      </c>
      <c r="C555" s="34"/>
      <c r="D555" s="34"/>
      <c r="E555" s="36"/>
      <c r="F555" s="36"/>
      <c r="G555" s="36"/>
      <c r="H555" s="28"/>
    </row>
    <row r="556" spans="1:8" ht="13.2">
      <c r="A556" s="35"/>
      <c r="B556" s="19" t="str">
        <f>IFERROR(VLOOKUP(A556, Tasks!A$89:E$133,2, FALSE), "")</f>
        <v/>
      </c>
      <c r="C556" s="35"/>
      <c r="D556" s="35"/>
      <c r="E556" s="15"/>
      <c r="F556" s="15"/>
      <c r="G556" s="15"/>
      <c r="H556" s="23"/>
    </row>
    <row r="557" spans="1:8" ht="13.2">
      <c r="A557" s="34"/>
      <c r="B557" s="24" t="str">
        <f>IFERROR(VLOOKUP(A557, Tasks!A$89:E$133,2, FALSE), "")</f>
        <v/>
      </c>
      <c r="C557" s="34"/>
      <c r="D557" s="34"/>
      <c r="E557" s="36"/>
      <c r="F557" s="36"/>
      <c r="G557" s="36"/>
      <c r="H557" s="28"/>
    </row>
    <row r="558" spans="1:8" ht="13.2">
      <c r="A558" s="35"/>
      <c r="B558" s="19" t="str">
        <f>IFERROR(VLOOKUP(A558, Tasks!A$89:E$133,2, FALSE), "")</f>
        <v/>
      </c>
      <c r="C558" s="35"/>
      <c r="D558" s="35"/>
      <c r="E558" s="15"/>
      <c r="F558" s="15"/>
      <c r="G558" s="15"/>
      <c r="H558" s="23"/>
    </row>
    <row r="559" spans="1:8" ht="13.2">
      <c r="A559" s="34"/>
      <c r="B559" s="24" t="str">
        <f>IFERROR(VLOOKUP(A559, Tasks!A$89:E$133,2, FALSE), "")</f>
        <v/>
      </c>
      <c r="C559" s="34"/>
      <c r="D559" s="34"/>
      <c r="E559" s="36"/>
      <c r="F559" s="36"/>
      <c r="G559" s="36"/>
      <c r="H559" s="28"/>
    </row>
    <row r="560" spans="1:8" ht="13.2">
      <c r="A560" s="35"/>
      <c r="B560" s="19" t="str">
        <f>IFERROR(VLOOKUP(A560, Tasks!A$89:E$133,2, FALSE), "")</f>
        <v/>
      </c>
      <c r="C560" s="35"/>
      <c r="D560" s="35"/>
      <c r="E560" s="15"/>
      <c r="F560" s="15"/>
      <c r="G560" s="15"/>
      <c r="H560" s="23"/>
    </row>
    <row r="561" spans="1:8" ht="13.2">
      <c r="A561" s="34"/>
      <c r="B561" s="24" t="str">
        <f>IFERROR(VLOOKUP(A561, Tasks!A$89:E$133,2, FALSE), "")</f>
        <v/>
      </c>
      <c r="C561" s="34"/>
      <c r="D561" s="34"/>
      <c r="E561" s="36"/>
      <c r="F561" s="36"/>
      <c r="G561" s="36"/>
      <c r="H561" s="28"/>
    </row>
    <row r="562" spans="1:8" ht="13.2">
      <c r="A562" s="35"/>
      <c r="B562" s="19" t="str">
        <f>IFERROR(VLOOKUP(A562, Tasks!A$89:E$133,2, FALSE), "")</f>
        <v/>
      </c>
      <c r="C562" s="35"/>
      <c r="D562" s="35"/>
      <c r="E562" s="15"/>
      <c r="F562" s="15"/>
      <c r="G562" s="15"/>
      <c r="H562" s="23"/>
    </row>
    <row r="563" spans="1:8" ht="13.2">
      <c r="A563" s="34"/>
      <c r="B563" s="24" t="str">
        <f>IFERROR(VLOOKUP(A563, Tasks!A$89:E$133,2, FALSE), "")</f>
        <v/>
      </c>
      <c r="C563" s="34"/>
      <c r="D563" s="34"/>
      <c r="E563" s="36"/>
      <c r="F563" s="36"/>
      <c r="G563" s="36"/>
      <c r="H563" s="28"/>
    </row>
    <row r="564" spans="1:8" ht="13.2">
      <c r="A564" s="35"/>
      <c r="B564" s="19" t="str">
        <f>IFERROR(VLOOKUP(A564, Tasks!A$89:E$133,2, FALSE), "")</f>
        <v/>
      </c>
      <c r="C564" s="35"/>
      <c r="D564" s="35"/>
      <c r="E564" s="15"/>
      <c r="F564" s="15"/>
      <c r="G564" s="15"/>
      <c r="H564" s="23"/>
    </row>
    <row r="565" spans="1:8" ht="13.2">
      <c r="A565" s="34"/>
      <c r="B565" s="24" t="str">
        <f>IFERROR(VLOOKUP(A565, Tasks!A$89:E$133,2, FALSE), "")</f>
        <v/>
      </c>
      <c r="C565" s="34"/>
      <c r="D565" s="34"/>
      <c r="E565" s="36"/>
      <c r="F565" s="36"/>
      <c r="G565" s="36"/>
      <c r="H565" s="28"/>
    </row>
    <row r="566" spans="1:8" ht="13.2">
      <c r="A566" s="35"/>
      <c r="B566" s="19" t="str">
        <f>IFERROR(VLOOKUP(A566, Tasks!A$89:E$133,2, FALSE), "")</f>
        <v/>
      </c>
      <c r="C566" s="35"/>
      <c r="D566" s="35"/>
      <c r="E566" s="15"/>
      <c r="F566" s="15"/>
      <c r="G566" s="15"/>
      <c r="H566" s="23"/>
    </row>
    <row r="567" spans="1:8" ht="13.2">
      <c r="A567" s="34"/>
      <c r="B567" s="24" t="str">
        <f>IFERROR(VLOOKUP(A567, Tasks!A$89:E$133,2, FALSE), "")</f>
        <v/>
      </c>
      <c r="C567" s="34"/>
      <c r="D567" s="34"/>
      <c r="E567" s="36"/>
      <c r="F567" s="36"/>
      <c r="G567" s="36"/>
      <c r="H567" s="28"/>
    </row>
    <row r="568" spans="1:8" ht="13.2">
      <c r="A568" s="35"/>
      <c r="B568" s="19" t="str">
        <f>IFERROR(VLOOKUP(A568, Tasks!A$89:E$133,2, FALSE), "")</f>
        <v/>
      </c>
      <c r="C568" s="35"/>
      <c r="D568" s="35"/>
      <c r="E568" s="15"/>
      <c r="F568" s="15"/>
      <c r="G568" s="15"/>
      <c r="H568" s="23"/>
    </row>
    <row r="569" spans="1:8" ht="13.2">
      <c r="A569" s="34"/>
      <c r="B569" s="24" t="str">
        <f>IFERROR(VLOOKUP(A569, Tasks!A$89:E$133,2, FALSE), "")</f>
        <v/>
      </c>
      <c r="C569" s="34"/>
      <c r="D569" s="34"/>
      <c r="E569" s="36"/>
      <c r="F569" s="36"/>
      <c r="G569" s="36"/>
      <c r="H569" s="28"/>
    </row>
    <row r="570" spans="1:8" ht="13.2">
      <c r="A570" s="35"/>
      <c r="B570" s="19" t="str">
        <f>IFERROR(VLOOKUP(A570, Tasks!A$89:E$133,2, FALSE), "")</f>
        <v/>
      </c>
      <c r="C570" s="35"/>
      <c r="D570" s="35"/>
      <c r="E570" s="15"/>
      <c r="F570" s="15"/>
      <c r="G570" s="15"/>
      <c r="H570" s="23"/>
    </row>
    <row r="571" spans="1:8" ht="13.2">
      <c r="A571" s="34"/>
      <c r="B571" s="24" t="str">
        <f>IFERROR(VLOOKUP(A571, Tasks!A$89:E$133,2, FALSE), "")</f>
        <v/>
      </c>
      <c r="C571" s="34"/>
      <c r="D571" s="34"/>
      <c r="E571" s="36"/>
      <c r="F571" s="36"/>
      <c r="G571" s="36"/>
      <c r="H571" s="28"/>
    </row>
    <row r="572" spans="1:8" ht="13.2">
      <c r="A572" s="35"/>
      <c r="B572" s="19" t="str">
        <f>IFERROR(VLOOKUP(A572, Tasks!A$89:E$133,2, FALSE), "")</f>
        <v/>
      </c>
      <c r="C572" s="35"/>
      <c r="D572" s="35"/>
      <c r="E572" s="15"/>
      <c r="F572" s="15"/>
      <c r="G572" s="15"/>
      <c r="H572" s="23"/>
    </row>
    <row r="573" spans="1:8" ht="13.2">
      <c r="A573" s="34"/>
      <c r="B573" s="24" t="str">
        <f>IFERROR(VLOOKUP(A573, Tasks!A$89:E$133,2, FALSE), "")</f>
        <v/>
      </c>
      <c r="C573" s="34"/>
      <c r="D573" s="34"/>
      <c r="E573" s="36"/>
      <c r="F573" s="36"/>
      <c r="G573" s="36"/>
      <c r="H573" s="28"/>
    </row>
    <row r="574" spans="1:8" ht="13.2">
      <c r="A574" s="35"/>
      <c r="B574" s="19" t="str">
        <f>IFERROR(VLOOKUP(A574, Tasks!A$89:E$133,2, FALSE), "")</f>
        <v/>
      </c>
      <c r="C574" s="35"/>
      <c r="D574" s="35"/>
      <c r="E574" s="15"/>
      <c r="F574" s="15"/>
      <c r="G574" s="15"/>
      <c r="H574" s="23"/>
    </row>
    <row r="575" spans="1:8" ht="13.2">
      <c r="A575" s="34"/>
      <c r="B575" s="24" t="str">
        <f>IFERROR(VLOOKUP(A575, Tasks!A$89:E$133,2, FALSE), "")</f>
        <v/>
      </c>
      <c r="C575" s="34"/>
      <c r="D575" s="34"/>
      <c r="E575" s="36"/>
      <c r="F575" s="36"/>
      <c r="G575" s="36"/>
      <c r="H575" s="28"/>
    </row>
    <row r="576" spans="1:8" ht="13.2">
      <c r="A576" s="35"/>
      <c r="B576" s="19" t="str">
        <f>IFERROR(VLOOKUP(A576, Tasks!A$89:E$133,2, FALSE), "")</f>
        <v/>
      </c>
      <c r="C576" s="35"/>
      <c r="D576" s="35"/>
      <c r="E576" s="15"/>
      <c r="F576" s="15"/>
      <c r="G576" s="15"/>
      <c r="H576" s="23"/>
    </row>
    <row r="577" spans="1:8" ht="13.2">
      <c r="A577" s="34"/>
      <c r="B577" s="24" t="str">
        <f>IFERROR(VLOOKUP(A577, Tasks!A$89:E$133,2, FALSE), "")</f>
        <v/>
      </c>
      <c r="C577" s="34"/>
      <c r="D577" s="34"/>
      <c r="E577" s="36"/>
      <c r="F577" s="36"/>
      <c r="G577" s="36"/>
      <c r="H577" s="28"/>
    </row>
    <row r="578" spans="1:8" ht="13.2">
      <c r="A578" s="35"/>
      <c r="B578" s="19" t="str">
        <f>IFERROR(VLOOKUP(A578, Tasks!A$89:E$133,2, FALSE), "")</f>
        <v/>
      </c>
      <c r="C578" s="35"/>
      <c r="D578" s="35"/>
      <c r="E578" s="15"/>
      <c r="F578" s="15"/>
      <c r="G578" s="15"/>
      <c r="H578" s="23"/>
    </row>
    <row r="579" spans="1:8" ht="13.2">
      <c r="A579" s="34"/>
      <c r="B579" s="24" t="str">
        <f>IFERROR(VLOOKUP(A579, Tasks!A$89:E$133,2, FALSE), "")</f>
        <v/>
      </c>
      <c r="C579" s="34"/>
      <c r="D579" s="34"/>
      <c r="E579" s="36"/>
      <c r="F579" s="36"/>
      <c r="G579" s="36"/>
      <c r="H579" s="28"/>
    </row>
    <row r="580" spans="1:8" ht="13.2">
      <c r="A580" s="35"/>
      <c r="B580" s="19" t="str">
        <f>IFERROR(VLOOKUP(A580, Tasks!A$89:E$133,2, FALSE), "")</f>
        <v/>
      </c>
      <c r="C580" s="35"/>
      <c r="D580" s="35"/>
      <c r="E580" s="15"/>
      <c r="F580" s="15"/>
      <c r="G580" s="15"/>
      <c r="H580" s="23"/>
    </row>
    <row r="581" spans="1:8" ht="13.2">
      <c r="A581" s="34"/>
      <c r="B581" s="24" t="str">
        <f>IFERROR(VLOOKUP(A581, Tasks!A$89:E$133,2, FALSE), "")</f>
        <v/>
      </c>
      <c r="C581" s="34"/>
      <c r="D581" s="34"/>
      <c r="E581" s="36"/>
      <c r="F581" s="36"/>
      <c r="G581" s="36"/>
      <c r="H581" s="28"/>
    </row>
    <row r="582" spans="1:8" ht="13.2">
      <c r="A582" s="35"/>
      <c r="B582" s="19" t="str">
        <f>IFERROR(VLOOKUP(A582, Tasks!A$89:E$133,2, FALSE), "")</f>
        <v/>
      </c>
      <c r="C582" s="35"/>
      <c r="D582" s="35"/>
      <c r="E582" s="15"/>
      <c r="F582" s="15"/>
      <c r="G582" s="15"/>
      <c r="H582" s="23"/>
    </row>
    <row r="583" spans="1:8" ht="13.2">
      <c r="A583" s="34"/>
      <c r="B583" s="24" t="str">
        <f>IFERROR(VLOOKUP(A583, Tasks!A$89:E$133,2, FALSE), "")</f>
        <v/>
      </c>
      <c r="C583" s="34"/>
      <c r="D583" s="34"/>
      <c r="E583" s="36"/>
      <c r="F583" s="36"/>
      <c r="G583" s="36"/>
      <c r="H583" s="28"/>
    </row>
    <row r="584" spans="1:8" ht="13.2">
      <c r="A584" s="35"/>
      <c r="B584" s="19" t="str">
        <f>IFERROR(VLOOKUP(A584, Tasks!A$89:E$133,2, FALSE), "")</f>
        <v/>
      </c>
      <c r="C584" s="35"/>
      <c r="D584" s="35"/>
      <c r="E584" s="15"/>
      <c r="F584" s="15"/>
      <c r="G584" s="15"/>
      <c r="H584" s="23"/>
    </row>
    <row r="585" spans="1:8" ht="13.2">
      <c r="A585" s="34"/>
      <c r="B585" s="24" t="str">
        <f>IFERROR(VLOOKUP(A585, Tasks!A$89:E$133,2, FALSE), "")</f>
        <v/>
      </c>
      <c r="C585" s="34"/>
      <c r="D585" s="34"/>
      <c r="E585" s="36"/>
      <c r="F585" s="36"/>
      <c r="G585" s="36"/>
      <c r="H585" s="28"/>
    </row>
    <row r="586" spans="1:8" ht="13.2">
      <c r="A586" s="35"/>
      <c r="B586" s="19" t="str">
        <f>IFERROR(VLOOKUP(A586, Tasks!A$89:E$133,2, FALSE), "")</f>
        <v/>
      </c>
      <c r="C586" s="35"/>
      <c r="D586" s="35"/>
      <c r="E586" s="15"/>
      <c r="F586" s="15"/>
      <c r="G586" s="15"/>
      <c r="H586" s="23"/>
    </row>
    <row r="587" spans="1:8" ht="13.2">
      <c r="A587" s="34"/>
      <c r="B587" s="24" t="str">
        <f>IFERROR(VLOOKUP(A587, Tasks!A$89:E$133,2, FALSE), "")</f>
        <v/>
      </c>
      <c r="C587" s="34"/>
      <c r="D587" s="34"/>
      <c r="E587" s="36"/>
      <c r="F587" s="36"/>
      <c r="G587" s="36"/>
      <c r="H587" s="28"/>
    </row>
    <row r="588" spans="1:8" ht="13.2">
      <c r="A588" s="35"/>
      <c r="B588" s="19" t="str">
        <f>IFERROR(VLOOKUP(A588, Tasks!A$89:E$133,2, FALSE), "")</f>
        <v/>
      </c>
      <c r="C588" s="35"/>
      <c r="D588" s="35"/>
      <c r="E588" s="15"/>
      <c r="F588" s="15"/>
      <c r="G588" s="15"/>
      <c r="H588" s="23"/>
    </row>
    <row r="589" spans="1:8" ht="13.2">
      <c r="A589" s="34"/>
      <c r="B589" s="24" t="str">
        <f>IFERROR(VLOOKUP(A589, Tasks!A$89:E$133,2, FALSE), "")</f>
        <v/>
      </c>
      <c r="C589" s="34"/>
      <c r="D589" s="34"/>
      <c r="E589" s="36"/>
      <c r="F589" s="36"/>
      <c r="G589" s="36"/>
      <c r="H589" s="28"/>
    </row>
    <row r="590" spans="1:8" ht="13.2">
      <c r="A590" s="35"/>
      <c r="B590" s="19" t="str">
        <f>IFERROR(VLOOKUP(A590, Tasks!A$89:E$133,2, FALSE), "")</f>
        <v/>
      </c>
      <c r="C590" s="35"/>
      <c r="D590" s="35"/>
      <c r="E590" s="15"/>
      <c r="F590" s="15"/>
      <c r="G590" s="15"/>
      <c r="H590" s="23"/>
    </row>
    <row r="591" spans="1:8" ht="13.2">
      <c r="A591" s="34"/>
      <c r="B591" s="24" t="str">
        <f>IFERROR(VLOOKUP(A591, Tasks!A$89:E$133,2, FALSE), "")</f>
        <v/>
      </c>
      <c r="C591" s="34"/>
      <c r="D591" s="34"/>
      <c r="E591" s="36"/>
      <c r="F591" s="36"/>
      <c r="G591" s="36"/>
      <c r="H591" s="28"/>
    </row>
    <row r="592" spans="1:8" ht="13.2">
      <c r="A592" s="35"/>
      <c r="B592" s="19" t="str">
        <f>IFERROR(VLOOKUP(A592, Tasks!A$89:E$133,2, FALSE), "")</f>
        <v/>
      </c>
      <c r="C592" s="35"/>
      <c r="D592" s="35"/>
      <c r="E592" s="15"/>
      <c r="F592" s="15"/>
      <c r="G592" s="15"/>
      <c r="H592" s="23"/>
    </row>
    <row r="593" spans="1:8" ht="13.2">
      <c r="A593" s="34"/>
      <c r="B593" s="24" t="str">
        <f>IFERROR(VLOOKUP(A593, Tasks!A$89:E$133,2, FALSE), "")</f>
        <v/>
      </c>
      <c r="C593" s="34"/>
      <c r="D593" s="34"/>
      <c r="E593" s="36"/>
      <c r="F593" s="36"/>
      <c r="G593" s="36"/>
      <c r="H593" s="28"/>
    </row>
    <row r="594" spans="1:8" ht="13.2">
      <c r="A594" s="35"/>
      <c r="B594" s="19" t="str">
        <f>IFERROR(VLOOKUP(A594, Tasks!A$89:E$133,2, FALSE), "")</f>
        <v/>
      </c>
      <c r="C594" s="35"/>
      <c r="D594" s="35"/>
      <c r="E594" s="15"/>
      <c r="F594" s="15"/>
      <c r="G594" s="15"/>
      <c r="H594" s="23"/>
    </row>
    <row r="595" spans="1:8" ht="13.2">
      <c r="A595" s="34"/>
      <c r="B595" s="24" t="str">
        <f>IFERROR(VLOOKUP(A595, Tasks!A$89:E$133,2, FALSE), "")</f>
        <v/>
      </c>
      <c r="C595" s="34"/>
      <c r="D595" s="34"/>
      <c r="E595" s="36"/>
      <c r="F595" s="36"/>
      <c r="G595" s="36"/>
      <c r="H595" s="28"/>
    </row>
    <row r="596" spans="1:8" ht="13.2">
      <c r="A596" s="35"/>
      <c r="B596" s="19" t="str">
        <f>IFERROR(VLOOKUP(A596, Tasks!A$89:E$133,2, FALSE), "")</f>
        <v/>
      </c>
      <c r="C596" s="35"/>
      <c r="D596" s="35"/>
      <c r="E596" s="15"/>
      <c r="F596" s="15"/>
      <c r="G596" s="15"/>
      <c r="H596" s="23"/>
    </row>
    <row r="597" spans="1:8" ht="13.2">
      <c r="A597" s="34"/>
      <c r="B597" s="24" t="str">
        <f>IFERROR(VLOOKUP(A597, Tasks!A$89:E$133,2, FALSE), "")</f>
        <v/>
      </c>
      <c r="C597" s="34"/>
      <c r="D597" s="34"/>
      <c r="E597" s="36"/>
      <c r="F597" s="36"/>
      <c r="G597" s="36"/>
      <c r="H597" s="28"/>
    </row>
    <row r="598" spans="1:8" ht="13.2">
      <c r="A598" s="35"/>
      <c r="B598" s="19" t="str">
        <f>IFERROR(VLOOKUP(A598, Tasks!A$89:E$133,2, FALSE), "")</f>
        <v/>
      </c>
      <c r="C598" s="35"/>
      <c r="D598" s="35"/>
      <c r="E598" s="15"/>
      <c r="F598" s="15"/>
      <c r="G598" s="15"/>
      <c r="H598" s="23"/>
    </row>
    <row r="599" spans="1:8" ht="13.2">
      <c r="A599" s="34"/>
      <c r="B599" s="24" t="str">
        <f>IFERROR(VLOOKUP(A599, Tasks!A$89:E$133,2, FALSE), "")</f>
        <v/>
      </c>
      <c r="C599" s="34"/>
      <c r="D599" s="34"/>
      <c r="E599" s="36"/>
      <c r="F599" s="36"/>
      <c r="G599" s="36"/>
      <c r="H599" s="28"/>
    </row>
    <row r="600" spans="1:8" ht="13.2">
      <c r="A600" s="35"/>
      <c r="B600" s="19" t="str">
        <f>IFERROR(VLOOKUP(A600, Tasks!A$89:E$133,2, FALSE), "")</f>
        <v/>
      </c>
      <c r="C600" s="35"/>
      <c r="D600" s="35"/>
      <c r="E600" s="15"/>
      <c r="F600" s="15"/>
      <c r="G600" s="15"/>
      <c r="H600" s="23"/>
    </row>
    <row r="601" spans="1:8" ht="13.2">
      <c r="A601" s="34"/>
      <c r="B601" s="24" t="str">
        <f>IFERROR(VLOOKUP(A601, Tasks!A$89:E$133,2, FALSE), "")</f>
        <v/>
      </c>
      <c r="C601" s="34"/>
      <c r="D601" s="34"/>
      <c r="E601" s="36"/>
      <c r="F601" s="36"/>
      <c r="G601" s="36"/>
      <c r="H601" s="28"/>
    </row>
    <row r="602" spans="1:8" ht="13.2">
      <c r="A602" s="35"/>
      <c r="B602" s="19" t="str">
        <f>IFERROR(VLOOKUP(A602, Tasks!A$89:E$133,2, FALSE), "")</f>
        <v/>
      </c>
      <c r="C602" s="35"/>
      <c r="D602" s="35"/>
      <c r="E602" s="15"/>
      <c r="F602" s="15"/>
      <c r="G602" s="15"/>
      <c r="H602" s="23"/>
    </row>
    <row r="603" spans="1:8" ht="13.2">
      <c r="A603" s="34"/>
      <c r="B603" s="24" t="str">
        <f>IFERROR(VLOOKUP(A603, Tasks!A$89:E$133,2, FALSE), "")</f>
        <v/>
      </c>
      <c r="C603" s="34"/>
      <c r="D603" s="34"/>
      <c r="E603" s="36"/>
      <c r="F603" s="36"/>
      <c r="G603" s="36"/>
      <c r="H603" s="28"/>
    </row>
    <row r="604" spans="1:8" ht="13.2">
      <c r="A604" s="35"/>
      <c r="B604" s="19" t="str">
        <f>IFERROR(VLOOKUP(A604, Tasks!A$89:E$133,2, FALSE), "")</f>
        <v/>
      </c>
      <c r="C604" s="35"/>
      <c r="D604" s="35"/>
      <c r="E604" s="15"/>
      <c r="F604" s="15"/>
      <c r="G604" s="15"/>
      <c r="H604" s="23"/>
    </row>
    <row r="605" spans="1:8" ht="13.2">
      <c r="A605" s="34"/>
      <c r="B605" s="24" t="str">
        <f>IFERROR(VLOOKUP(A605, Tasks!A$89:E$133,2, FALSE), "")</f>
        <v/>
      </c>
      <c r="C605" s="34"/>
      <c r="D605" s="34"/>
      <c r="E605" s="36"/>
      <c r="F605" s="36"/>
      <c r="G605" s="36"/>
      <c r="H605" s="28"/>
    </row>
    <row r="606" spans="1:8" ht="13.2">
      <c r="A606" s="35"/>
      <c r="B606" s="19" t="str">
        <f>IFERROR(VLOOKUP(A606, Tasks!A$89:E$133,2, FALSE), "")</f>
        <v/>
      </c>
      <c r="C606" s="35"/>
      <c r="D606" s="35"/>
      <c r="E606" s="15"/>
      <c r="F606" s="15"/>
      <c r="G606" s="15"/>
      <c r="H606" s="23"/>
    </row>
    <row r="607" spans="1:8" ht="13.2">
      <c r="A607" s="34"/>
      <c r="B607" s="24" t="str">
        <f>IFERROR(VLOOKUP(A607, Tasks!A$89:E$133,2, FALSE), "")</f>
        <v/>
      </c>
      <c r="C607" s="34"/>
      <c r="D607" s="34"/>
      <c r="E607" s="36"/>
      <c r="F607" s="36"/>
      <c r="G607" s="36"/>
      <c r="H607" s="28"/>
    </row>
    <row r="608" spans="1:8" ht="13.2">
      <c r="A608" s="35"/>
      <c r="B608" s="19" t="str">
        <f>IFERROR(VLOOKUP(A608, Tasks!A$89:E$133,2, FALSE), "")</f>
        <v/>
      </c>
      <c r="C608" s="35"/>
      <c r="D608" s="35"/>
      <c r="E608" s="15"/>
      <c r="F608" s="15"/>
      <c r="G608" s="15"/>
      <c r="H608" s="23"/>
    </row>
    <row r="609" spans="1:8" ht="13.2">
      <c r="A609" s="34"/>
      <c r="B609" s="24" t="str">
        <f>IFERROR(VLOOKUP(A609, Tasks!A$89:E$133,2, FALSE), "")</f>
        <v/>
      </c>
      <c r="C609" s="34"/>
      <c r="D609" s="34"/>
      <c r="E609" s="36"/>
      <c r="F609" s="36"/>
      <c r="G609" s="36"/>
      <c r="H609" s="28"/>
    </row>
    <row r="610" spans="1:8" ht="13.2">
      <c r="A610" s="35"/>
      <c r="B610" s="19" t="str">
        <f>IFERROR(VLOOKUP(A610, Tasks!A$89:E$133,2, FALSE), "")</f>
        <v/>
      </c>
      <c r="C610" s="35"/>
      <c r="D610" s="35"/>
      <c r="E610" s="15"/>
      <c r="F610" s="15"/>
      <c r="G610" s="15"/>
      <c r="H610" s="23"/>
    </row>
    <row r="611" spans="1:8" ht="13.2">
      <c r="A611" s="34"/>
      <c r="B611" s="24" t="str">
        <f>IFERROR(VLOOKUP(A611, Tasks!A$89:E$133,2, FALSE), "")</f>
        <v/>
      </c>
      <c r="C611" s="34"/>
      <c r="D611" s="34"/>
      <c r="E611" s="36"/>
      <c r="F611" s="36"/>
      <c r="G611" s="36"/>
      <c r="H611" s="28"/>
    </row>
    <row r="612" spans="1:8" ht="13.2">
      <c r="A612" s="35"/>
      <c r="B612" s="19" t="str">
        <f>IFERROR(VLOOKUP(A612, Tasks!A$89:E$133,2, FALSE), "")</f>
        <v/>
      </c>
      <c r="C612" s="35"/>
      <c r="D612" s="35"/>
      <c r="E612" s="15"/>
      <c r="F612" s="15"/>
      <c r="G612" s="15"/>
      <c r="H612" s="23"/>
    </row>
    <row r="613" spans="1:8" ht="13.2">
      <c r="A613" s="34"/>
      <c r="B613" s="24" t="str">
        <f>IFERROR(VLOOKUP(A613, Tasks!A$89:E$133,2, FALSE), "")</f>
        <v/>
      </c>
      <c r="C613" s="34"/>
      <c r="D613" s="34"/>
      <c r="E613" s="36"/>
      <c r="F613" s="36"/>
      <c r="G613" s="36"/>
      <c r="H613" s="28"/>
    </row>
    <row r="614" spans="1:8" ht="13.2">
      <c r="A614" s="35"/>
      <c r="B614" s="19" t="str">
        <f>IFERROR(VLOOKUP(A614, Tasks!A$89:E$133,2, FALSE), "")</f>
        <v/>
      </c>
      <c r="C614" s="35"/>
      <c r="D614" s="35"/>
      <c r="E614" s="15"/>
      <c r="F614" s="15"/>
      <c r="G614" s="15"/>
      <c r="H614" s="23"/>
    </row>
    <row r="615" spans="1:8" ht="13.2">
      <c r="A615" s="34"/>
      <c r="B615" s="24" t="str">
        <f>IFERROR(VLOOKUP(A615, Tasks!A$89:E$133,2, FALSE), "")</f>
        <v/>
      </c>
      <c r="C615" s="34"/>
      <c r="D615" s="34"/>
      <c r="E615" s="36"/>
      <c r="F615" s="36"/>
      <c r="G615" s="36"/>
      <c r="H615" s="28"/>
    </row>
    <row r="616" spans="1:8" ht="13.2">
      <c r="A616" s="35"/>
      <c r="B616" s="19" t="str">
        <f>IFERROR(VLOOKUP(A616, Tasks!A$89:E$133,2, FALSE), "")</f>
        <v/>
      </c>
      <c r="C616" s="35"/>
      <c r="D616" s="35"/>
      <c r="E616" s="15"/>
      <c r="F616" s="15"/>
      <c r="G616" s="15"/>
      <c r="H616" s="23"/>
    </row>
    <row r="617" spans="1:8" ht="13.2">
      <c r="A617" s="34"/>
      <c r="B617" s="24" t="str">
        <f>IFERROR(VLOOKUP(A617, Tasks!A$89:E$133,2, FALSE), "")</f>
        <v/>
      </c>
      <c r="C617" s="34"/>
      <c r="D617" s="34"/>
      <c r="E617" s="36"/>
      <c r="F617" s="36"/>
      <c r="G617" s="36"/>
      <c r="H617" s="28"/>
    </row>
    <row r="618" spans="1:8" ht="13.2">
      <c r="A618" s="35"/>
      <c r="B618" s="19" t="str">
        <f>IFERROR(VLOOKUP(A618, Tasks!A$89:E$133,2, FALSE), "")</f>
        <v/>
      </c>
      <c r="C618" s="35"/>
      <c r="D618" s="35"/>
      <c r="E618" s="15"/>
      <c r="F618" s="15"/>
      <c r="G618" s="15"/>
      <c r="H618" s="23"/>
    </row>
    <row r="619" spans="1:8" ht="13.2">
      <c r="A619" s="34"/>
      <c r="B619" s="24" t="str">
        <f>IFERROR(VLOOKUP(A619, Tasks!A$89:E$133,2, FALSE), "")</f>
        <v/>
      </c>
      <c r="C619" s="34"/>
      <c r="D619" s="34"/>
      <c r="E619" s="36"/>
      <c r="F619" s="36"/>
      <c r="G619" s="36"/>
      <c r="H619" s="28"/>
    </row>
    <row r="620" spans="1:8" ht="13.2">
      <c r="A620" s="35"/>
      <c r="B620" s="19" t="str">
        <f>IFERROR(VLOOKUP(A620, Tasks!A$89:E$133,2, FALSE), "")</f>
        <v/>
      </c>
      <c r="C620" s="35"/>
      <c r="D620" s="35"/>
      <c r="E620" s="15"/>
      <c r="F620" s="15"/>
      <c r="G620" s="15"/>
      <c r="H620" s="23"/>
    </row>
    <row r="621" spans="1:8" ht="13.2">
      <c r="A621" s="34"/>
      <c r="B621" s="24" t="str">
        <f>IFERROR(VLOOKUP(A621, Tasks!A$89:E$133,2, FALSE), "")</f>
        <v/>
      </c>
      <c r="C621" s="34"/>
      <c r="D621" s="34"/>
      <c r="E621" s="36"/>
      <c r="F621" s="36"/>
      <c r="G621" s="36"/>
      <c r="H621" s="28"/>
    </row>
    <row r="622" spans="1:8" ht="13.2">
      <c r="A622" s="35"/>
      <c r="B622" s="19" t="str">
        <f>IFERROR(VLOOKUP(A622, Tasks!A$89:E$133,2, FALSE), "")</f>
        <v/>
      </c>
      <c r="C622" s="35"/>
      <c r="D622" s="35"/>
      <c r="E622" s="15"/>
      <c r="F622" s="15"/>
      <c r="G622" s="15"/>
      <c r="H622" s="23"/>
    </row>
    <row r="623" spans="1:8" ht="13.2">
      <c r="A623" s="34"/>
      <c r="B623" s="24" t="str">
        <f>IFERROR(VLOOKUP(A623, Tasks!A$89:E$133,2, FALSE), "")</f>
        <v/>
      </c>
      <c r="C623" s="34"/>
      <c r="D623" s="34"/>
      <c r="E623" s="36"/>
      <c r="F623" s="36"/>
      <c r="G623" s="36"/>
      <c r="H623" s="28"/>
    </row>
    <row r="624" spans="1:8" ht="13.2">
      <c r="A624" s="35"/>
      <c r="B624" s="19" t="str">
        <f>IFERROR(VLOOKUP(A624, Tasks!A$89:E$133,2, FALSE), "")</f>
        <v/>
      </c>
      <c r="C624" s="35"/>
      <c r="D624" s="35"/>
      <c r="E624" s="15"/>
      <c r="F624" s="15"/>
      <c r="G624" s="15"/>
      <c r="H624" s="23"/>
    </row>
    <row r="625" spans="1:8" ht="13.2">
      <c r="A625" s="34"/>
      <c r="B625" s="24" t="str">
        <f>IFERROR(VLOOKUP(A625, Tasks!A$89:E$133,2, FALSE), "")</f>
        <v/>
      </c>
      <c r="C625" s="34"/>
      <c r="D625" s="34"/>
      <c r="E625" s="36"/>
      <c r="F625" s="36"/>
      <c r="G625" s="36"/>
      <c r="H625" s="28"/>
    </row>
    <row r="626" spans="1:8" ht="13.2">
      <c r="A626" s="35"/>
      <c r="B626" s="19" t="str">
        <f>IFERROR(VLOOKUP(A626, Tasks!A$89:E$133,2, FALSE), "")</f>
        <v/>
      </c>
      <c r="C626" s="35"/>
      <c r="D626" s="35"/>
      <c r="E626" s="15"/>
      <c r="F626" s="15"/>
      <c r="G626" s="15"/>
      <c r="H626" s="23"/>
    </row>
    <row r="627" spans="1:8" ht="13.2">
      <c r="A627" s="34"/>
      <c r="B627" s="24" t="str">
        <f>IFERROR(VLOOKUP(A627, Tasks!A$89:E$133,2, FALSE), "")</f>
        <v/>
      </c>
      <c r="C627" s="34"/>
      <c r="D627" s="34"/>
      <c r="E627" s="36"/>
      <c r="F627" s="36"/>
      <c r="G627" s="36"/>
      <c r="H627" s="28"/>
    </row>
    <row r="628" spans="1:8" ht="13.2">
      <c r="A628" s="35"/>
      <c r="B628" s="19" t="str">
        <f>IFERROR(VLOOKUP(A628, Tasks!A$89:E$133,2, FALSE), "")</f>
        <v/>
      </c>
      <c r="C628" s="35"/>
      <c r="D628" s="35"/>
      <c r="E628" s="15"/>
      <c r="F628" s="15"/>
      <c r="G628" s="15"/>
      <c r="H628" s="23"/>
    </row>
    <row r="629" spans="1:8" ht="13.2">
      <c r="A629" s="34"/>
      <c r="B629" s="24" t="str">
        <f>IFERROR(VLOOKUP(A629, Tasks!A$89:E$133,2, FALSE), "")</f>
        <v/>
      </c>
      <c r="C629" s="34"/>
      <c r="D629" s="34"/>
      <c r="E629" s="36"/>
      <c r="F629" s="36"/>
      <c r="G629" s="36"/>
      <c r="H629" s="28"/>
    </row>
    <row r="630" spans="1:8" ht="13.2">
      <c r="A630" s="35"/>
      <c r="B630" s="19" t="str">
        <f>IFERROR(VLOOKUP(A630, Tasks!A$89:E$133,2, FALSE), "")</f>
        <v/>
      </c>
      <c r="C630" s="35"/>
      <c r="D630" s="35"/>
      <c r="E630" s="15"/>
      <c r="F630" s="15"/>
      <c r="G630" s="15"/>
      <c r="H630" s="23"/>
    </row>
    <row r="631" spans="1:8" ht="13.2">
      <c r="A631" s="34"/>
      <c r="B631" s="24" t="str">
        <f>IFERROR(VLOOKUP(A631, Tasks!A$89:E$133,2, FALSE), "")</f>
        <v/>
      </c>
      <c r="C631" s="34"/>
      <c r="D631" s="34"/>
      <c r="E631" s="36"/>
      <c r="F631" s="36"/>
      <c r="G631" s="36"/>
      <c r="H631" s="28"/>
    </row>
    <row r="632" spans="1:8" ht="13.2">
      <c r="A632" s="35"/>
      <c r="B632" s="19" t="str">
        <f>IFERROR(VLOOKUP(A632, Tasks!A$89:E$133,2, FALSE), "")</f>
        <v/>
      </c>
      <c r="C632" s="35"/>
      <c r="D632" s="35"/>
      <c r="E632" s="15"/>
      <c r="F632" s="15"/>
      <c r="G632" s="15"/>
      <c r="H632" s="23"/>
    </row>
    <row r="633" spans="1:8" ht="13.2">
      <c r="A633" s="34"/>
      <c r="B633" s="24" t="str">
        <f>IFERROR(VLOOKUP(A633, Tasks!A$89:E$133,2, FALSE), "")</f>
        <v/>
      </c>
      <c r="C633" s="34"/>
      <c r="D633" s="34"/>
      <c r="E633" s="36"/>
      <c r="F633" s="36"/>
      <c r="G633" s="36"/>
      <c r="H633" s="28"/>
    </row>
    <row r="634" spans="1:8" ht="13.2">
      <c r="A634" s="35"/>
      <c r="B634" s="19" t="str">
        <f>IFERROR(VLOOKUP(A634, Tasks!A$89:E$133,2, FALSE), "")</f>
        <v/>
      </c>
      <c r="C634" s="35"/>
      <c r="D634" s="35"/>
      <c r="E634" s="15"/>
      <c r="F634" s="15"/>
      <c r="G634" s="15"/>
      <c r="H634" s="23"/>
    </row>
    <row r="635" spans="1:8" ht="13.2">
      <c r="A635" s="34"/>
      <c r="B635" s="24" t="str">
        <f>IFERROR(VLOOKUP(A635, Tasks!A$89:E$133,2, FALSE), "")</f>
        <v/>
      </c>
      <c r="C635" s="34"/>
      <c r="D635" s="34"/>
      <c r="E635" s="36"/>
      <c r="F635" s="36"/>
      <c r="G635" s="36"/>
      <c r="H635" s="28"/>
    </row>
    <row r="636" spans="1:8" ht="13.2">
      <c r="A636" s="35"/>
      <c r="B636" s="19" t="str">
        <f>IFERROR(VLOOKUP(A636, Tasks!A$89:E$133,2, FALSE), "")</f>
        <v/>
      </c>
      <c r="C636" s="35"/>
      <c r="D636" s="35"/>
      <c r="E636" s="15"/>
      <c r="F636" s="15"/>
      <c r="G636" s="15"/>
      <c r="H636" s="23"/>
    </row>
    <row r="637" spans="1:8" ht="13.2">
      <c r="A637" s="34"/>
      <c r="B637" s="24" t="str">
        <f>IFERROR(VLOOKUP(A637, Tasks!A$89:E$133,2, FALSE), "")</f>
        <v/>
      </c>
      <c r="C637" s="34"/>
      <c r="D637" s="34"/>
      <c r="E637" s="36"/>
      <c r="F637" s="36"/>
      <c r="G637" s="36"/>
      <c r="H637" s="28"/>
    </row>
    <row r="638" spans="1:8" ht="13.2">
      <c r="A638" s="35"/>
      <c r="B638" s="19" t="str">
        <f>IFERROR(VLOOKUP(A638, Tasks!A$89:E$133,2, FALSE), "")</f>
        <v/>
      </c>
      <c r="C638" s="35"/>
      <c r="D638" s="35"/>
      <c r="E638" s="15"/>
      <c r="F638" s="15"/>
      <c r="G638" s="15"/>
      <c r="H638" s="23"/>
    </row>
    <row r="639" spans="1:8" ht="13.2">
      <c r="A639" s="34"/>
      <c r="B639" s="24" t="str">
        <f>IFERROR(VLOOKUP(A639, Tasks!A$89:E$133,2, FALSE), "")</f>
        <v/>
      </c>
      <c r="C639" s="34"/>
      <c r="D639" s="34"/>
      <c r="E639" s="36"/>
      <c r="F639" s="36"/>
      <c r="G639" s="36"/>
      <c r="H639" s="28"/>
    </row>
    <row r="640" spans="1:8" ht="13.2">
      <c r="A640" s="35"/>
      <c r="B640" s="19" t="str">
        <f>IFERROR(VLOOKUP(A640, Tasks!A$89:E$133,2, FALSE), "")</f>
        <v/>
      </c>
      <c r="C640" s="35"/>
      <c r="D640" s="35"/>
      <c r="E640" s="15"/>
      <c r="F640" s="15"/>
      <c r="G640" s="15"/>
      <c r="H640" s="23"/>
    </row>
    <row r="641" spans="1:8" ht="13.2">
      <c r="A641" s="34"/>
      <c r="B641" s="24" t="str">
        <f>IFERROR(VLOOKUP(A641, Tasks!A$89:E$133,2, FALSE), "")</f>
        <v/>
      </c>
      <c r="C641" s="34"/>
      <c r="D641" s="34"/>
      <c r="E641" s="36"/>
      <c r="F641" s="36"/>
      <c r="G641" s="36"/>
      <c r="H641" s="28"/>
    </row>
    <row r="642" spans="1:8" ht="13.2">
      <c r="A642" s="35"/>
      <c r="B642" s="19" t="str">
        <f>IFERROR(VLOOKUP(A642, Tasks!A$89:E$133,2, FALSE), "")</f>
        <v/>
      </c>
      <c r="C642" s="35"/>
      <c r="D642" s="35"/>
      <c r="E642" s="15"/>
      <c r="F642" s="15"/>
      <c r="G642" s="15"/>
      <c r="H642" s="23"/>
    </row>
    <row r="643" spans="1:8" ht="13.2">
      <c r="A643" s="34"/>
      <c r="B643" s="24" t="str">
        <f>IFERROR(VLOOKUP(A643, Tasks!A$89:E$133,2, FALSE), "")</f>
        <v/>
      </c>
      <c r="C643" s="34"/>
      <c r="D643" s="34"/>
      <c r="E643" s="36"/>
      <c r="F643" s="36"/>
      <c r="G643" s="36"/>
      <c r="H643" s="28"/>
    </row>
    <row r="644" spans="1:8" ht="13.2">
      <c r="A644" s="35"/>
      <c r="B644" s="19" t="str">
        <f>IFERROR(VLOOKUP(A644, Tasks!A$89:E$133,2, FALSE), "")</f>
        <v/>
      </c>
      <c r="C644" s="35"/>
      <c r="D644" s="35"/>
      <c r="E644" s="15"/>
      <c r="F644" s="15"/>
      <c r="G644" s="15"/>
      <c r="H644" s="23"/>
    </row>
    <row r="645" spans="1:8" ht="13.2">
      <c r="A645" s="34"/>
      <c r="B645" s="24" t="str">
        <f>IFERROR(VLOOKUP(A645, Tasks!A$89:E$133,2, FALSE), "")</f>
        <v/>
      </c>
      <c r="C645" s="34"/>
      <c r="D645" s="34"/>
      <c r="E645" s="36"/>
      <c r="F645" s="36"/>
      <c r="G645" s="36"/>
      <c r="H645" s="28"/>
    </row>
    <row r="646" spans="1:8" ht="13.2">
      <c r="A646" s="35"/>
      <c r="B646" s="19" t="str">
        <f>IFERROR(VLOOKUP(A646, Tasks!A$89:E$133,2, FALSE), "")</f>
        <v/>
      </c>
      <c r="C646" s="35"/>
      <c r="D646" s="35"/>
      <c r="E646" s="15"/>
      <c r="F646" s="15"/>
      <c r="G646" s="15"/>
      <c r="H646" s="23"/>
    </row>
    <row r="647" spans="1:8" ht="13.2">
      <c r="A647" s="34"/>
      <c r="B647" s="24" t="str">
        <f>IFERROR(VLOOKUP(A647, Tasks!A$89:E$133,2, FALSE), "")</f>
        <v/>
      </c>
      <c r="C647" s="34"/>
      <c r="D647" s="34"/>
      <c r="E647" s="36"/>
      <c r="F647" s="36"/>
      <c r="G647" s="36"/>
      <c r="H647" s="28"/>
    </row>
    <row r="648" spans="1:8" ht="13.2">
      <c r="A648" s="35"/>
      <c r="B648" s="19" t="str">
        <f>IFERROR(VLOOKUP(A648, Tasks!A$89:E$133,2, FALSE), "")</f>
        <v/>
      </c>
      <c r="C648" s="35"/>
      <c r="D648" s="35"/>
      <c r="E648" s="15"/>
      <c r="F648" s="15"/>
      <c r="G648" s="15"/>
      <c r="H648" s="23"/>
    </row>
    <row r="649" spans="1:8" ht="13.2">
      <c r="A649" s="34"/>
      <c r="B649" s="24" t="str">
        <f>IFERROR(VLOOKUP(A649, Tasks!A$89:E$133,2, FALSE), "")</f>
        <v/>
      </c>
      <c r="C649" s="34"/>
      <c r="D649" s="34"/>
      <c r="E649" s="36"/>
      <c r="F649" s="36"/>
      <c r="G649" s="36"/>
      <c r="H649" s="28"/>
    </row>
    <row r="650" spans="1:8" ht="13.2">
      <c r="A650" s="35"/>
      <c r="B650" s="19" t="str">
        <f>IFERROR(VLOOKUP(A650, Tasks!A$89:E$133,2, FALSE), "")</f>
        <v/>
      </c>
      <c r="C650" s="35"/>
      <c r="D650" s="35"/>
      <c r="E650" s="15"/>
      <c r="F650" s="15"/>
      <c r="G650" s="15"/>
      <c r="H650" s="23"/>
    </row>
    <row r="651" spans="1:8" ht="13.2">
      <c r="A651" s="34"/>
      <c r="B651" s="24" t="str">
        <f>IFERROR(VLOOKUP(A651, Tasks!A$89:E$133,2, FALSE), "")</f>
        <v/>
      </c>
      <c r="C651" s="34"/>
      <c r="D651" s="34"/>
      <c r="E651" s="36"/>
      <c r="F651" s="36"/>
      <c r="G651" s="36"/>
      <c r="H651" s="28"/>
    </row>
    <row r="652" spans="1:8" ht="13.2">
      <c r="A652" s="35"/>
      <c r="B652" s="19" t="str">
        <f>IFERROR(VLOOKUP(A652, Tasks!A$89:E$133,2, FALSE), "")</f>
        <v/>
      </c>
      <c r="C652" s="35"/>
      <c r="D652" s="35"/>
      <c r="E652" s="15"/>
      <c r="F652" s="15"/>
      <c r="G652" s="15"/>
      <c r="H652" s="23"/>
    </row>
    <row r="653" spans="1:8" ht="13.2">
      <c r="A653" s="34"/>
      <c r="B653" s="24" t="str">
        <f>IFERROR(VLOOKUP(A653, Tasks!A$89:E$133,2, FALSE), "")</f>
        <v/>
      </c>
      <c r="C653" s="34"/>
      <c r="D653" s="34"/>
      <c r="E653" s="36"/>
      <c r="F653" s="36"/>
      <c r="G653" s="36"/>
      <c r="H653" s="28"/>
    </row>
    <row r="654" spans="1:8" ht="13.2">
      <c r="A654" s="35"/>
      <c r="B654" s="19" t="str">
        <f>IFERROR(VLOOKUP(A654, Tasks!A$89:E$133,2, FALSE), "")</f>
        <v/>
      </c>
      <c r="C654" s="35"/>
      <c r="D654" s="35"/>
      <c r="E654" s="15"/>
      <c r="F654" s="15"/>
      <c r="G654" s="15"/>
      <c r="H654" s="23"/>
    </row>
    <row r="655" spans="1:8" ht="13.2">
      <c r="A655" s="34"/>
      <c r="B655" s="24" t="str">
        <f>IFERROR(VLOOKUP(A655, Tasks!A$89:E$133,2, FALSE), "")</f>
        <v/>
      </c>
      <c r="C655" s="34"/>
      <c r="D655" s="34"/>
      <c r="E655" s="36"/>
      <c r="F655" s="36"/>
      <c r="G655" s="36"/>
      <c r="H655" s="28"/>
    </row>
    <row r="656" spans="1:8" ht="13.2">
      <c r="A656" s="35"/>
      <c r="B656" s="19" t="str">
        <f>IFERROR(VLOOKUP(A656, Tasks!A$89:E$133,2, FALSE), "")</f>
        <v/>
      </c>
      <c r="C656" s="35"/>
      <c r="D656" s="35"/>
      <c r="E656" s="15"/>
      <c r="F656" s="15"/>
      <c r="G656" s="15"/>
      <c r="H656" s="23"/>
    </row>
    <row r="657" spans="1:8" ht="13.2">
      <c r="A657" s="34"/>
      <c r="B657" s="24" t="str">
        <f>IFERROR(VLOOKUP(A657, Tasks!A$89:E$133,2, FALSE), "")</f>
        <v/>
      </c>
      <c r="C657" s="34"/>
      <c r="D657" s="34"/>
      <c r="E657" s="36"/>
      <c r="F657" s="36"/>
      <c r="G657" s="36"/>
      <c r="H657" s="28"/>
    </row>
    <row r="658" spans="1:8" ht="13.2">
      <c r="A658" s="35"/>
      <c r="B658" s="19" t="str">
        <f>IFERROR(VLOOKUP(A658, Tasks!A$89:E$133,2, FALSE), "")</f>
        <v/>
      </c>
      <c r="C658" s="35"/>
      <c r="D658" s="35"/>
      <c r="E658" s="15"/>
      <c r="F658" s="15"/>
      <c r="G658" s="15"/>
      <c r="H658" s="23"/>
    </row>
    <row r="659" spans="1:8" ht="13.2">
      <c r="A659" s="34"/>
      <c r="B659" s="24" t="str">
        <f>IFERROR(VLOOKUP(A659, Tasks!A$89:E$133,2, FALSE), "")</f>
        <v/>
      </c>
      <c r="C659" s="34"/>
      <c r="D659" s="34"/>
      <c r="E659" s="36"/>
      <c r="F659" s="36"/>
      <c r="G659" s="36"/>
      <c r="H659" s="28"/>
    </row>
    <row r="660" spans="1:8" ht="13.2">
      <c r="A660" s="35"/>
      <c r="B660" s="19" t="str">
        <f>IFERROR(VLOOKUP(A660, Tasks!A$89:E$133,2, FALSE), "")</f>
        <v/>
      </c>
      <c r="C660" s="35"/>
      <c r="D660" s="35"/>
      <c r="E660" s="15"/>
      <c r="F660" s="15"/>
      <c r="G660" s="15"/>
      <c r="H660" s="23"/>
    </row>
    <row r="661" spans="1:8" ht="13.2">
      <c r="A661" s="34"/>
      <c r="B661" s="24" t="str">
        <f>IFERROR(VLOOKUP(A661, Tasks!A$89:E$133,2, FALSE), "")</f>
        <v/>
      </c>
      <c r="C661" s="34"/>
      <c r="D661" s="34"/>
      <c r="E661" s="36"/>
      <c r="F661" s="36"/>
      <c r="G661" s="36"/>
      <c r="H661" s="28"/>
    </row>
    <row r="662" spans="1:8" ht="13.2">
      <c r="A662" s="35"/>
      <c r="B662" s="19" t="str">
        <f>IFERROR(VLOOKUP(A662, Tasks!A$89:E$133,2, FALSE), "")</f>
        <v/>
      </c>
      <c r="C662" s="35"/>
      <c r="D662" s="35"/>
      <c r="E662" s="15"/>
      <c r="F662" s="15"/>
      <c r="G662" s="15"/>
      <c r="H662" s="23"/>
    </row>
    <row r="663" spans="1:8" ht="13.2">
      <c r="A663" s="34"/>
      <c r="B663" s="24" t="str">
        <f>IFERROR(VLOOKUP(A663, Tasks!A$89:E$133,2, FALSE), "")</f>
        <v/>
      </c>
      <c r="C663" s="34"/>
      <c r="D663" s="34"/>
      <c r="E663" s="36"/>
      <c r="F663" s="36"/>
      <c r="G663" s="36"/>
      <c r="H663" s="28"/>
    </row>
    <row r="664" spans="1:8" ht="13.2">
      <c r="A664" s="35"/>
      <c r="B664" s="19" t="str">
        <f>IFERROR(VLOOKUP(A664, Tasks!A$89:E$133,2, FALSE), "")</f>
        <v/>
      </c>
      <c r="C664" s="35"/>
      <c r="D664" s="35"/>
      <c r="E664" s="15"/>
      <c r="F664" s="15"/>
      <c r="G664" s="15"/>
      <c r="H664" s="23"/>
    </row>
    <row r="665" spans="1:8" ht="13.2">
      <c r="A665" s="34"/>
      <c r="B665" s="24" t="str">
        <f>IFERROR(VLOOKUP(A665, Tasks!A$89:E$133,2, FALSE), "")</f>
        <v/>
      </c>
      <c r="C665" s="34"/>
      <c r="D665" s="34"/>
      <c r="E665" s="36"/>
      <c r="F665" s="36"/>
      <c r="G665" s="36"/>
      <c r="H665" s="28"/>
    </row>
    <row r="666" spans="1:8" ht="13.2">
      <c r="A666" s="35"/>
      <c r="B666" s="19" t="str">
        <f>IFERROR(VLOOKUP(A666, Tasks!A$89:E$133,2, FALSE), "")</f>
        <v/>
      </c>
      <c r="C666" s="35"/>
      <c r="D666" s="35"/>
      <c r="E666" s="15"/>
      <c r="F666" s="15"/>
      <c r="G666" s="15"/>
      <c r="H666" s="23"/>
    </row>
    <row r="667" spans="1:8" ht="13.2">
      <c r="A667" s="34"/>
      <c r="B667" s="24" t="str">
        <f>IFERROR(VLOOKUP(A667, Tasks!A$89:E$133,2, FALSE), "")</f>
        <v/>
      </c>
      <c r="C667" s="34"/>
      <c r="D667" s="34"/>
      <c r="E667" s="36"/>
      <c r="F667" s="36"/>
      <c r="G667" s="36"/>
      <c r="H667" s="28"/>
    </row>
    <row r="668" spans="1:8" ht="13.2">
      <c r="A668" s="35"/>
      <c r="B668" s="19" t="str">
        <f>IFERROR(VLOOKUP(A668, Tasks!A$89:E$133,2, FALSE), "")</f>
        <v/>
      </c>
      <c r="C668" s="35"/>
      <c r="D668" s="35"/>
      <c r="E668" s="15"/>
      <c r="F668" s="15"/>
      <c r="G668" s="15"/>
      <c r="H668" s="23"/>
    </row>
    <row r="669" spans="1:8" ht="13.2">
      <c r="A669" s="34"/>
      <c r="B669" s="24" t="str">
        <f>IFERROR(VLOOKUP(A669, Tasks!A$89:E$133,2, FALSE), "")</f>
        <v/>
      </c>
      <c r="C669" s="34"/>
      <c r="D669" s="34"/>
      <c r="E669" s="36"/>
      <c r="F669" s="36"/>
      <c r="G669" s="36"/>
      <c r="H669" s="28"/>
    </row>
    <row r="670" spans="1:8" ht="13.2">
      <c r="A670" s="35"/>
      <c r="B670" s="19" t="str">
        <f>IFERROR(VLOOKUP(A670, Tasks!A$89:E$133,2, FALSE), "")</f>
        <v/>
      </c>
      <c r="C670" s="35"/>
      <c r="D670" s="35"/>
      <c r="E670" s="15"/>
      <c r="F670" s="15"/>
      <c r="G670" s="15"/>
      <c r="H670" s="23"/>
    </row>
    <row r="671" spans="1:8" ht="13.2">
      <c r="A671" s="34"/>
      <c r="B671" s="24" t="str">
        <f>IFERROR(VLOOKUP(A671, Tasks!A$89:E$133,2, FALSE), "")</f>
        <v/>
      </c>
      <c r="C671" s="34"/>
      <c r="D671" s="34"/>
      <c r="E671" s="36"/>
      <c r="F671" s="36"/>
      <c r="G671" s="36"/>
      <c r="H671" s="28"/>
    </row>
    <row r="672" spans="1:8" ht="13.2">
      <c r="A672" s="35"/>
      <c r="B672" s="19" t="str">
        <f>IFERROR(VLOOKUP(A672, Tasks!A$89:E$133,2, FALSE), "")</f>
        <v/>
      </c>
      <c r="C672" s="35"/>
      <c r="D672" s="35"/>
      <c r="E672" s="15"/>
      <c r="F672" s="15"/>
      <c r="G672" s="15"/>
      <c r="H672" s="23"/>
    </row>
    <row r="673" spans="1:8" ht="13.2">
      <c r="A673" s="34"/>
      <c r="B673" s="24" t="str">
        <f>IFERROR(VLOOKUP(A673, Tasks!A$89:E$133,2, FALSE), "")</f>
        <v/>
      </c>
      <c r="C673" s="34"/>
      <c r="D673" s="34"/>
      <c r="E673" s="36"/>
      <c r="F673" s="36"/>
      <c r="G673" s="36"/>
      <c r="H673" s="28"/>
    </row>
    <row r="674" spans="1:8" ht="13.2">
      <c r="A674" s="35"/>
      <c r="B674" s="19" t="str">
        <f>IFERROR(VLOOKUP(A674, Tasks!A$89:E$133,2, FALSE), "")</f>
        <v/>
      </c>
      <c r="C674" s="35"/>
      <c r="D674" s="35"/>
      <c r="E674" s="15"/>
      <c r="F674" s="15"/>
      <c r="G674" s="15"/>
      <c r="H674" s="23"/>
    </row>
    <row r="675" spans="1:8" ht="13.2">
      <c r="A675" s="34"/>
      <c r="B675" s="24" t="str">
        <f>IFERROR(VLOOKUP(A675, Tasks!A$89:E$133,2, FALSE), "")</f>
        <v/>
      </c>
      <c r="C675" s="34"/>
      <c r="D675" s="34"/>
      <c r="E675" s="36"/>
      <c r="F675" s="36"/>
      <c r="G675" s="36"/>
      <c r="H675" s="28"/>
    </row>
    <row r="676" spans="1:8" ht="13.2">
      <c r="A676" s="35"/>
      <c r="B676" s="19" t="str">
        <f>IFERROR(VLOOKUP(A676, Tasks!A$89:E$133,2, FALSE), "")</f>
        <v/>
      </c>
      <c r="C676" s="35"/>
      <c r="D676" s="35"/>
      <c r="E676" s="15"/>
      <c r="F676" s="15"/>
      <c r="G676" s="15"/>
      <c r="H676" s="23"/>
    </row>
    <row r="677" spans="1:8" ht="13.2">
      <c r="A677" s="34"/>
      <c r="B677" s="24" t="str">
        <f>IFERROR(VLOOKUP(A677, Tasks!A$89:E$133,2, FALSE), "")</f>
        <v/>
      </c>
      <c r="C677" s="34"/>
      <c r="D677" s="34"/>
      <c r="E677" s="36"/>
      <c r="F677" s="36"/>
      <c r="G677" s="36"/>
      <c r="H677" s="28"/>
    </row>
    <row r="678" spans="1:8" ht="13.2">
      <c r="A678" s="35"/>
      <c r="B678" s="19" t="str">
        <f>IFERROR(VLOOKUP(A678, Tasks!A$89:E$133,2, FALSE), "")</f>
        <v/>
      </c>
      <c r="C678" s="35"/>
      <c r="D678" s="35"/>
      <c r="E678" s="15"/>
      <c r="F678" s="15"/>
      <c r="G678" s="15"/>
      <c r="H678" s="23"/>
    </row>
    <row r="679" spans="1:8" ht="13.2">
      <c r="A679" s="34"/>
      <c r="B679" s="24" t="str">
        <f>IFERROR(VLOOKUP(A679, Tasks!A$89:E$133,2, FALSE), "")</f>
        <v/>
      </c>
      <c r="C679" s="34"/>
      <c r="D679" s="34"/>
      <c r="E679" s="36"/>
      <c r="F679" s="36"/>
      <c r="G679" s="36"/>
      <c r="H679" s="28"/>
    </row>
    <row r="680" spans="1:8" ht="13.2">
      <c r="A680" s="35"/>
      <c r="B680" s="19" t="str">
        <f>IFERROR(VLOOKUP(A680, Tasks!A$89:E$133,2, FALSE), "")</f>
        <v/>
      </c>
      <c r="C680" s="35"/>
      <c r="D680" s="35"/>
      <c r="E680" s="15"/>
      <c r="F680" s="15"/>
      <c r="G680" s="15"/>
      <c r="H680" s="23"/>
    </row>
    <row r="681" spans="1:8" ht="13.2">
      <c r="A681" s="34"/>
      <c r="B681" s="24" t="str">
        <f>IFERROR(VLOOKUP(A681, Tasks!A$89:E$133,2, FALSE), "")</f>
        <v/>
      </c>
      <c r="C681" s="34"/>
      <c r="D681" s="34"/>
      <c r="E681" s="36"/>
      <c r="F681" s="36"/>
      <c r="G681" s="36"/>
      <c r="H681" s="28"/>
    </row>
    <row r="682" spans="1:8" ht="13.2">
      <c r="A682" s="35"/>
      <c r="B682" s="19" t="str">
        <f>IFERROR(VLOOKUP(A682, Tasks!A$89:E$133,2, FALSE), "")</f>
        <v/>
      </c>
      <c r="C682" s="35"/>
      <c r="D682" s="35"/>
      <c r="E682" s="15"/>
      <c r="F682" s="15"/>
      <c r="G682" s="15"/>
      <c r="H682" s="23"/>
    </row>
    <row r="683" spans="1:8" ht="13.2">
      <c r="A683" s="34"/>
      <c r="B683" s="24" t="str">
        <f>IFERROR(VLOOKUP(A683, Tasks!A$89:E$133,2, FALSE), "")</f>
        <v/>
      </c>
      <c r="C683" s="34"/>
      <c r="D683" s="34"/>
      <c r="E683" s="36"/>
      <c r="F683" s="36"/>
      <c r="G683" s="36"/>
      <c r="H683" s="28"/>
    </row>
    <row r="684" spans="1:8" ht="13.2">
      <c r="A684" s="35"/>
      <c r="B684" s="19" t="str">
        <f>IFERROR(VLOOKUP(A684, Tasks!A$89:E$133,2, FALSE), "")</f>
        <v/>
      </c>
      <c r="C684" s="35"/>
      <c r="D684" s="35"/>
      <c r="E684" s="15"/>
      <c r="F684" s="15"/>
      <c r="G684" s="15"/>
      <c r="H684" s="23"/>
    </row>
    <row r="685" spans="1:8" ht="13.2">
      <c r="A685" s="34"/>
      <c r="B685" s="24" t="str">
        <f>IFERROR(VLOOKUP(A685, Tasks!A$89:E$133,2, FALSE), "")</f>
        <v/>
      </c>
      <c r="C685" s="34"/>
      <c r="D685" s="34"/>
      <c r="E685" s="36"/>
      <c r="F685" s="36"/>
      <c r="G685" s="36"/>
      <c r="H685" s="28"/>
    </row>
    <row r="686" spans="1:8" ht="13.2">
      <c r="A686" s="35"/>
      <c r="B686" s="19" t="str">
        <f>IFERROR(VLOOKUP(A686, Tasks!A$89:E$133,2, FALSE), "")</f>
        <v/>
      </c>
      <c r="C686" s="35"/>
      <c r="D686" s="35"/>
      <c r="E686" s="15"/>
      <c r="F686" s="15"/>
      <c r="G686" s="15"/>
      <c r="H686" s="23"/>
    </row>
    <row r="687" spans="1:8" ht="13.2">
      <c r="A687" s="34"/>
      <c r="B687" s="24" t="str">
        <f>IFERROR(VLOOKUP(A687, Tasks!A$89:E$133,2, FALSE), "")</f>
        <v/>
      </c>
      <c r="C687" s="34"/>
      <c r="D687" s="34"/>
      <c r="E687" s="36"/>
      <c r="F687" s="36"/>
      <c r="G687" s="36"/>
      <c r="H687" s="28"/>
    </row>
    <row r="688" spans="1:8" ht="13.2">
      <c r="A688" s="35"/>
      <c r="B688" s="19" t="str">
        <f>IFERROR(VLOOKUP(A688, Tasks!A$89:E$133,2, FALSE), "")</f>
        <v/>
      </c>
      <c r="C688" s="35"/>
      <c r="D688" s="35"/>
      <c r="E688" s="15"/>
      <c r="F688" s="15"/>
      <c r="G688" s="15"/>
      <c r="H688" s="23"/>
    </row>
    <row r="689" spans="1:8" ht="13.2">
      <c r="A689" s="34"/>
      <c r="B689" s="24" t="str">
        <f>IFERROR(VLOOKUP(A689, Tasks!A$89:E$133,2, FALSE), "")</f>
        <v/>
      </c>
      <c r="C689" s="34"/>
      <c r="D689" s="34"/>
      <c r="E689" s="36"/>
      <c r="F689" s="36"/>
      <c r="G689" s="36"/>
      <c r="H689" s="28"/>
    </row>
    <row r="690" spans="1:8" ht="13.2">
      <c r="A690" s="35"/>
      <c r="B690" s="19" t="str">
        <f>IFERROR(VLOOKUP(A690, Tasks!A$89:E$133,2, FALSE), "")</f>
        <v/>
      </c>
      <c r="C690" s="35"/>
      <c r="D690" s="35"/>
      <c r="E690" s="15"/>
      <c r="F690" s="15"/>
      <c r="G690" s="15"/>
      <c r="H690" s="23"/>
    </row>
    <row r="691" spans="1:8" ht="13.2">
      <c r="A691" s="34"/>
      <c r="B691" s="24" t="str">
        <f>IFERROR(VLOOKUP(A691, Tasks!A$89:E$133,2, FALSE), "")</f>
        <v/>
      </c>
      <c r="C691" s="34"/>
      <c r="D691" s="34"/>
      <c r="E691" s="36"/>
      <c r="F691" s="36"/>
      <c r="G691" s="36"/>
      <c r="H691" s="28"/>
    </row>
    <row r="692" spans="1:8" ht="13.2">
      <c r="A692" s="35"/>
      <c r="B692" s="19" t="str">
        <f>IFERROR(VLOOKUP(A692, Tasks!A$89:E$133,2, FALSE), "")</f>
        <v/>
      </c>
      <c r="C692" s="35"/>
      <c r="D692" s="35"/>
      <c r="E692" s="15"/>
      <c r="F692" s="15"/>
      <c r="G692" s="15"/>
      <c r="H692" s="23"/>
    </row>
    <row r="693" spans="1:8" ht="13.2">
      <c r="A693" s="34"/>
      <c r="B693" s="24" t="str">
        <f>IFERROR(VLOOKUP(A693, Tasks!A$89:E$133,2, FALSE), "")</f>
        <v/>
      </c>
      <c r="C693" s="34"/>
      <c r="D693" s="34"/>
      <c r="E693" s="36"/>
      <c r="F693" s="36"/>
      <c r="G693" s="36"/>
      <c r="H693" s="28"/>
    </row>
    <row r="694" spans="1:8" ht="13.2">
      <c r="A694" s="35"/>
      <c r="B694" s="19" t="str">
        <f>IFERROR(VLOOKUP(A694, Tasks!A$89:E$133,2, FALSE), "")</f>
        <v/>
      </c>
      <c r="C694" s="35"/>
      <c r="D694" s="35"/>
      <c r="E694" s="15"/>
      <c r="F694" s="15"/>
      <c r="G694" s="15"/>
      <c r="H694" s="23"/>
    </row>
    <row r="695" spans="1:8" ht="13.2">
      <c r="A695" s="34"/>
      <c r="B695" s="24" t="str">
        <f>IFERROR(VLOOKUP(A695, Tasks!A$89:E$133,2, FALSE), "")</f>
        <v/>
      </c>
      <c r="C695" s="34"/>
      <c r="D695" s="34"/>
      <c r="E695" s="36"/>
      <c r="F695" s="36"/>
      <c r="G695" s="36"/>
      <c r="H695" s="28"/>
    </row>
    <row r="696" spans="1:8" ht="13.2">
      <c r="A696" s="35"/>
      <c r="B696" s="19" t="str">
        <f>IFERROR(VLOOKUP(A696, Tasks!A$89:E$133,2, FALSE), "")</f>
        <v/>
      </c>
      <c r="C696" s="35"/>
      <c r="D696" s="35"/>
      <c r="E696" s="15"/>
      <c r="F696" s="15"/>
      <c r="G696" s="15"/>
      <c r="H696" s="23"/>
    </row>
    <row r="697" spans="1:8" ht="13.2">
      <c r="A697" s="34"/>
      <c r="B697" s="24" t="str">
        <f>IFERROR(VLOOKUP(A697, Tasks!A$89:E$133,2, FALSE), "")</f>
        <v/>
      </c>
      <c r="C697" s="34"/>
      <c r="D697" s="34"/>
      <c r="E697" s="36"/>
      <c r="F697" s="36"/>
      <c r="G697" s="36"/>
      <c r="H697" s="28"/>
    </row>
    <row r="698" spans="1:8" ht="13.2">
      <c r="A698" s="35"/>
      <c r="B698" s="19" t="str">
        <f>IFERROR(VLOOKUP(A698, Tasks!A$89:E$133,2, FALSE), "")</f>
        <v/>
      </c>
      <c r="C698" s="35"/>
      <c r="D698" s="35"/>
      <c r="E698" s="15"/>
      <c r="F698" s="15"/>
      <c r="G698" s="15"/>
      <c r="H698" s="23"/>
    </row>
    <row r="699" spans="1:8" ht="13.2">
      <c r="A699" s="34"/>
      <c r="B699" s="24" t="str">
        <f>IFERROR(VLOOKUP(A699, Tasks!A$89:E$133,2, FALSE), "")</f>
        <v/>
      </c>
      <c r="C699" s="34"/>
      <c r="D699" s="34"/>
      <c r="E699" s="36"/>
      <c r="F699" s="36"/>
      <c r="G699" s="36"/>
      <c r="H699" s="28"/>
    </row>
    <row r="700" spans="1:8" ht="13.2">
      <c r="A700" s="35"/>
      <c r="B700" s="19" t="str">
        <f>IFERROR(VLOOKUP(A700, Tasks!A$89:E$133,2, FALSE), "")</f>
        <v/>
      </c>
      <c r="C700" s="35"/>
      <c r="D700" s="35"/>
      <c r="E700" s="15"/>
      <c r="F700" s="15"/>
      <c r="G700" s="15"/>
      <c r="H700" s="23"/>
    </row>
    <row r="701" spans="1:8" ht="13.2">
      <c r="A701" s="34"/>
      <c r="B701" s="24" t="str">
        <f>IFERROR(VLOOKUP(A701, Tasks!A$89:E$133,2, FALSE), "")</f>
        <v/>
      </c>
      <c r="C701" s="34"/>
      <c r="D701" s="34"/>
      <c r="E701" s="36"/>
      <c r="F701" s="36"/>
      <c r="G701" s="36"/>
      <c r="H701" s="28"/>
    </row>
    <row r="702" spans="1:8" ht="13.2">
      <c r="A702" s="35"/>
      <c r="B702" s="19" t="str">
        <f>IFERROR(VLOOKUP(A702, Tasks!A$89:E$133,2, FALSE), "")</f>
        <v/>
      </c>
      <c r="C702" s="35"/>
      <c r="D702" s="35"/>
      <c r="E702" s="15"/>
      <c r="F702" s="15"/>
      <c r="G702" s="15"/>
      <c r="H702" s="23"/>
    </row>
    <row r="703" spans="1:8" ht="13.2">
      <c r="A703" s="34"/>
      <c r="B703" s="24" t="str">
        <f>IFERROR(VLOOKUP(A703, Tasks!A$89:E$133,2, FALSE), "")</f>
        <v/>
      </c>
      <c r="C703" s="34"/>
      <c r="D703" s="34"/>
      <c r="E703" s="36"/>
      <c r="F703" s="36"/>
      <c r="G703" s="36"/>
      <c r="H703" s="28"/>
    </row>
    <row r="704" spans="1:8" ht="13.2">
      <c r="A704" s="35"/>
      <c r="B704" s="19" t="str">
        <f>IFERROR(VLOOKUP(A704, Tasks!A$89:E$133,2, FALSE), "")</f>
        <v/>
      </c>
      <c r="C704" s="35"/>
      <c r="D704" s="35"/>
      <c r="E704" s="15"/>
      <c r="F704" s="15"/>
      <c r="G704" s="15"/>
      <c r="H704" s="23"/>
    </row>
    <row r="705" spans="1:8" ht="13.2">
      <c r="A705" s="34"/>
      <c r="B705" s="24" t="str">
        <f>IFERROR(VLOOKUP(A705, Tasks!A$89:E$133,2, FALSE), "")</f>
        <v/>
      </c>
      <c r="C705" s="34"/>
      <c r="D705" s="34"/>
      <c r="E705" s="36"/>
      <c r="F705" s="36"/>
      <c r="G705" s="36"/>
      <c r="H705" s="28"/>
    </row>
    <row r="706" spans="1:8" ht="13.2">
      <c r="A706" s="35"/>
      <c r="B706" s="19" t="str">
        <f>IFERROR(VLOOKUP(A706, Tasks!A$89:E$133,2, FALSE), "")</f>
        <v/>
      </c>
      <c r="C706" s="35"/>
      <c r="D706" s="35"/>
      <c r="E706" s="15"/>
      <c r="F706" s="15"/>
      <c r="G706" s="15"/>
      <c r="H706" s="23"/>
    </row>
    <row r="707" spans="1:8" ht="13.2">
      <c r="A707" s="34"/>
      <c r="B707" s="24" t="str">
        <f>IFERROR(VLOOKUP(A707, Tasks!A$89:E$133,2, FALSE), "")</f>
        <v/>
      </c>
      <c r="C707" s="34"/>
      <c r="D707" s="34"/>
      <c r="E707" s="36"/>
      <c r="F707" s="36"/>
      <c r="G707" s="36"/>
      <c r="H707" s="28"/>
    </row>
    <row r="708" spans="1:8" ht="13.2">
      <c r="A708" s="35"/>
      <c r="B708" s="19" t="str">
        <f>IFERROR(VLOOKUP(A708, Tasks!A$89:E$133,2, FALSE), "")</f>
        <v/>
      </c>
      <c r="C708" s="35"/>
      <c r="D708" s="35"/>
      <c r="E708" s="15"/>
      <c r="F708" s="15"/>
      <c r="G708" s="15"/>
      <c r="H708" s="23"/>
    </row>
    <row r="709" spans="1:8" ht="13.2">
      <c r="A709" s="34"/>
      <c r="B709" s="24" t="str">
        <f>IFERROR(VLOOKUP(A709, Tasks!A$89:E$133,2, FALSE), "")</f>
        <v/>
      </c>
      <c r="C709" s="34"/>
      <c r="D709" s="34"/>
      <c r="E709" s="36"/>
      <c r="F709" s="36"/>
      <c r="G709" s="36"/>
      <c r="H709" s="28"/>
    </row>
    <row r="710" spans="1:8" ht="13.2">
      <c r="A710" s="35"/>
      <c r="B710" s="19" t="str">
        <f>IFERROR(VLOOKUP(A710, Tasks!A$89:E$133,2, FALSE), "")</f>
        <v/>
      </c>
      <c r="C710" s="35"/>
      <c r="D710" s="35"/>
      <c r="E710" s="15"/>
      <c r="F710" s="15"/>
      <c r="G710" s="15"/>
      <c r="H710" s="23"/>
    </row>
    <row r="711" spans="1:8" ht="13.2">
      <c r="A711" s="34"/>
      <c r="B711" s="24" t="str">
        <f>IFERROR(VLOOKUP(A711, Tasks!A$89:E$133,2, FALSE), "")</f>
        <v/>
      </c>
      <c r="C711" s="34"/>
      <c r="D711" s="34"/>
      <c r="E711" s="36"/>
      <c r="F711" s="36"/>
      <c r="G711" s="36"/>
      <c r="H711" s="28"/>
    </row>
    <row r="712" spans="1:8" ht="13.2">
      <c r="A712" s="35"/>
      <c r="B712" s="19" t="str">
        <f>IFERROR(VLOOKUP(A712, Tasks!A$89:E$133,2, FALSE), "")</f>
        <v/>
      </c>
      <c r="C712" s="35"/>
      <c r="D712" s="35"/>
      <c r="E712" s="15"/>
      <c r="F712" s="15"/>
      <c r="G712" s="15"/>
      <c r="H712" s="23"/>
    </row>
    <row r="713" spans="1:8" ht="13.2">
      <c r="A713" s="34"/>
      <c r="B713" s="24" t="str">
        <f>IFERROR(VLOOKUP(A713, Tasks!A$89:E$133,2, FALSE), "")</f>
        <v/>
      </c>
      <c r="C713" s="34"/>
      <c r="D713" s="34"/>
      <c r="E713" s="36"/>
      <c r="F713" s="36"/>
      <c r="G713" s="36"/>
      <c r="H713" s="28"/>
    </row>
    <row r="714" spans="1:8" ht="13.2">
      <c r="A714" s="35"/>
      <c r="B714" s="19" t="str">
        <f>IFERROR(VLOOKUP(A714, Tasks!A$89:E$133,2, FALSE), "")</f>
        <v/>
      </c>
      <c r="C714" s="35"/>
      <c r="D714" s="35"/>
      <c r="E714" s="15"/>
      <c r="F714" s="15"/>
      <c r="G714" s="15"/>
      <c r="H714" s="23"/>
    </row>
    <row r="715" spans="1:8" ht="13.2">
      <c r="A715" s="34"/>
      <c r="B715" s="24" t="str">
        <f>IFERROR(VLOOKUP(A715, Tasks!A$89:E$133,2, FALSE), "")</f>
        <v/>
      </c>
      <c r="C715" s="34"/>
      <c r="D715" s="34"/>
      <c r="E715" s="36"/>
      <c r="F715" s="36"/>
      <c r="G715" s="36"/>
      <c r="H715" s="28"/>
    </row>
    <row r="716" spans="1:8" ht="13.2">
      <c r="A716" s="35"/>
      <c r="B716" s="19" t="str">
        <f>IFERROR(VLOOKUP(A716, Tasks!A$89:E$133,2, FALSE), "")</f>
        <v/>
      </c>
      <c r="C716" s="35"/>
      <c r="D716" s="35"/>
      <c r="E716" s="15"/>
      <c r="F716" s="15"/>
      <c r="G716" s="15"/>
      <c r="H716" s="23"/>
    </row>
    <row r="717" spans="1:8" ht="13.2">
      <c r="A717" s="34"/>
      <c r="B717" s="24" t="str">
        <f>IFERROR(VLOOKUP(A717, Tasks!A$89:E$133,2, FALSE), "")</f>
        <v/>
      </c>
      <c r="C717" s="34"/>
      <c r="D717" s="34"/>
      <c r="E717" s="36"/>
      <c r="F717" s="36"/>
      <c r="G717" s="36"/>
      <c r="H717" s="28"/>
    </row>
    <row r="718" spans="1:8" ht="13.2">
      <c r="A718" s="35"/>
      <c r="B718" s="19" t="str">
        <f>IFERROR(VLOOKUP(A718, Tasks!A$89:E$133,2, FALSE), "")</f>
        <v/>
      </c>
      <c r="C718" s="35"/>
      <c r="D718" s="35"/>
      <c r="E718" s="15"/>
      <c r="F718" s="15"/>
      <c r="G718" s="15"/>
      <c r="H718" s="23"/>
    </row>
    <row r="719" spans="1:8" ht="13.2">
      <c r="A719" s="34"/>
      <c r="B719" s="24" t="str">
        <f>IFERROR(VLOOKUP(A719, Tasks!A$89:E$133,2, FALSE), "")</f>
        <v/>
      </c>
      <c r="C719" s="34"/>
      <c r="D719" s="34"/>
      <c r="E719" s="36"/>
      <c r="F719" s="36"/>
      <c r="G719" s="36"/>
      <c r="H719" s="28"/>
    </row>
    <row r="720" spans="1:8" ht="13.2">
      <c r="A720" s="35"/>
      <c r="B720" s="19" t="str">
        <f>IFERROR(VLOOKUP(A720, Tasks!A$89:E$133,2, FALSE), "")</f>
        <v/>
      </c>
      <c r="C720" s="35"/>
      <c r="D720" s="35"/>
      <c r="E720" s="15"/>
      <c r="F720" s="15"/>
      <c r="G720" s="15"/>
      <c r="H720" s="23"/>
    </row>
    <row r="721" spans="1:8" ht="13.2">
      <c r="A721" s="34"/>
      <c r="B721" s="24" t="str">
        <f>IFERROR(VLOOKUP(A721, Tasks!A$89:E$133,2, FALSE), "")</f>
        <v/>
      </c>
      <c r="C721" s="34"/>
      <c r="D721" s="34"/>
      <c r="E721" s="36"/>
      <c r="F721" s="36"/>
      <c r="G721" s="36"/>
      <c r="H721" s="28"/>
    </row>
    <row r="722" spans="1:8" ht="13.2">
      <c r="A722" s="35"/>
      <c r="B722" s="19" t="str">
        <f>IFERROR(VLOOKUP(A722, Tasks!A$89:E$133,2, FALSE), "")</f>
        <v/>
      </c>
      <c r="C722" s="35"/>
      <c r="D722" s="35"/>
      <c r="E722" s="15"/>
      <c r="F722" s="15"/>
      <c r="G722" s="15"/>
      <c r="H722" s="23"/>
    </row>
    <row r="723" spans="1:8" ht="13.2">
      <c r="A723" s="34"/>
      <c r="B723" s="24" t="str">
        <f>IFERROR(VLOOKUP(A723, Tasks!A$89:E$133,2, FALSE), "")</f>
        <v/>
      </c>
      <c r="C723" s="34"/>
      <c r="D723" s="34"/>
      <c r="E723" s="36"/>
      <c r="F723" s="36"/>
      <c r="G723" s="36"/>
      <c r="H723" s="28"/>
    </row>
    <row r="724" spans="1:8" ht="13.2">
      <c r="A724" s="35"/>
      <c r="B724" s="19" t="str">
        <f>IFERROR(VLOOKUP(A724, Tasks!A$89:E$133,2, FALSE), "")</f>
        <v/>
      </c>
      <c r="C724" s="35"/>
      <c r="D724" s="35"/>
      <c r="E724" s="15"/>
      <c r="F724" s="15"/>
      <c r="G724" s="15"/>
      <c r="H724" s="23"/>
    </row>
    <row r="725" spans="1:8" ht="13.2">
      <c r="A725" s="34"/>
      <c r="B725" s="24" t="str">
        <f>IFERROR(VLOOKUP(A725, Tasks!A$89:E$133,2, FALSE), "")</f>
        <v/>
      </c>
      <c r="C725" s="34"/>
      <c r="D725" s="34"/>
      <c r="E725" s="36"/>
      <c r="F725" s="36"/>
      <c r="G725" s="36"/>
      <c r="H725" s="28"/>
    </row>
    <row r="726" spans="1:8" ht="13.2">
      <c r="A726" s="35"/>
      <c r="B726" s="19" t="str">
        <f>IFERROR(VLOOKUP(A726, Tasks!A$89:E$133,2, FALSE), "")</f>
        <v/>
      </c>
      <c r="C726" s="35"/>
      <c r="D726" s="35"/>
      <c r="E726" s="15"/>
      <c r="F726" s="15"/>
      <c r="G726" s="15"/>
      <c r="H726" s="23"/>
    </row>
    <row r="727" spans="1:8" ht="13.2">
      <c r="A727" s="34"/>
      <c r="B727" s="24" t="str">
        <f>IFERROR(VLOOKUP(A727, Tasks!A$89:E$133,2, FALSE), "")</f>
        <v/>
      </c>
      <c r="C727" s="34"/>
      <c r="D727" s="34"/>
      <c r="E727" s="36"/>
      <c r="F727" s="36"/>
      <c r="G727" s="36"/>
      <c r="H727" s="28"/>
    </row>
    <row r="728" spans="1:8" ht="13.2">
      <c r="A728" s="35"/>
      <c r="B728" s="19" t="str">
        <f>IFERROR(VLOOKUP(A728, Tasks!A$89:E$133,2, FALSE), "")</f>
        <v/>
      </c>
      <c r="C728" s="35"/>
      <c r="D728" s="35"/>
      <c r="E728" s="15"/>
      <c r="F728" s="15"/>
      <c r="G728" s="15"/>
      <c r="H728" s="23"/>
    </row>
    <row r="729" spans="1:8" ht="13.2">
      <c r="A729" s="34"/>
      <c r="B729" s="24" t="str">
        <f>IFERROR(VLOOKUP(A729, Tasks!A$89:E$133,2, FALSE), "")</f>
        <v/>
      </c>
      <c r="C729" s="34"/>
      <c r="D729" s="34"/>
      <c r="E729" s="36"/>
      <c r="F729" s="36"/>
      <c r="G729" s="36"/>
      <c r="H729" s="28"/>
    </row>
    <row r="730" spans="1:8" ht="13.2">
      <c r="A730" s="35"/>
      <c r="B730" s="19" t="str">
        <f>IFERROR(VLOOKUP(A730, Tasks!A$89:E$133,2, FALSE), "")</f>
        <v/>
      </c>
      <c r="C730" s="35"/>
      <c r="D730" s="35"/>
      <c r="E730" s="15"/>
      <c r="F730" s="15"/>
      <c r="G730" s="15"/>
      <c r="H730" s="23"/>
    </row>
    <row r="731" spans="1:8" ht="13.2">
      <c r="A731" s="34"/>
      <c r="B731" s="24" t="str">
        <f>IFERROR(VLOOKUP(A731, Tasks!A$89:E$133,2, FALSE), "")</f>
        <v/>
      </c>
      <c r="C731" s="34"/>
      <c r="D731" s="34"/>
      <c r="E731" s="36"/>
      <c r="F731" s="36"/>
      <c r="G731" s="36"/>
      <c r="H731" s="28"/>
    </row>
    <row r="732" spans="1:8" ht="13.2">
      <c r="A732" s="35"/>
      <c r="B732" s="19" t="str">
        <f>IFERROR(VLOOKUP(A732, Tasks!A$89:E$133,2, FALSE), "")</f>
        <v/>
      </c>
      <c r="C732" s="35"/>
      <c r="D732" s="35"/>
      <c r="E732" s="15"/>
      <c r="F732" s="15"/>
      <c r="G732" s="15"/>
      <c r="H732" s="23"/>
    </row>
    <row r="733" spans="1:8" ht="13.2">
      <c r="A733" s="34"/>
      <c r="B733" s="24" t="str">
        <f>IFERROR(VLOOKUP(A733, Tasks!A$89:E$133,2, FALSE), "")</f>
        <v/>
      </c>
      <c r="C733" s="34"/>
      <c r="D733" s="34"/>
      <c r="E733" s="36"/>
      <c r="F733" s="36"/>
      <c r="G733" s="36"/>
      <c r="H733" s="28"/>
    </row>
    <row r="734" spans="1:8" ht="13.2">
      <c r="A734" s="35"/>
      <c r="B734" s="19" t="str">
        <f>IFERROR(VLOOKUP(A734, Tasks!A$89:E$133,2, FALSE), "")</f>
        <v/>
      </c>
      <c r="C734" s="35"/>
      <c r="D734" s="35"/>
      <c r="E734" s="15"/>
      <c r="F734" s="15"/>
      <c r="G734" s="15"/>
      <c r="H734" s="23"/>
    </row>
    <row r="735" spans="1:8" ht="13.2">
      <c r="A735" s="34"/>
      <c r="B735" s="24" t="str">
        <f>IFERROR(VLOOKUP(A735, Tasks!A$89:E$133,2, FALSE), "")</f>
        <v/>
      </c>
      <c r="C735" s="34"/>
      <c r="D735" s="34"/>
      <c r="E735" s="36"/>
      <c r="F735" s="36"/>
      <c r="G735" s="36"/>
      <c r="H735" s="28"/>
    </row>
    <row r="736" spans="1:8" ht="13.2">
      <c r="A736" s="35"/>
      <c r="B736" s="19" t="str">
        <f>IFERROR(VLOOKUP(A736, Tasks!A$89:E$133,2, FALSE), "")</f>
        <v/>
      </c>
      <c r="C736" s="35"/>
      <c r="D736" s="35"/>
      <c r="E736" s="15"/>
      <c r="F736" s="15"/>
      <c r="G736" s="15"/>
      <c r="H736" s="23"/>
    </row>
    <row r="737" spans="1:8" ht="13.2">
      <c r="A737" s="34"/>
      <c r="B737" s="24" t="str">
        <f>IFERROR(VLOOKUP(A737, Tasks!A$89:E$133,2, FALSE), "")</f>
        <v/>
      </c>
      <c r="C737" s="34"/>
      <c r="D737" s="34"/>
      <c r="E737" s="36"/>
      <c r="F737" s="36"/>
      <c r="G737" s="36"/>
      <c r="H737" s="28"/>
    </row>
    <row r="738" spans="1:8" ht="13.2">
      <c r="A738" s="35"/>
      <c r="B738" s="19" t="str">
        <f>IFERROR(VLOOKUP(A738, Tasks!A$89:E$133,2, FALSE), "")</f>
        <v/>
      </c>
      <c r="C738" s="35"/>
      <c r="D738" s="35"/>
      <c r="E738" s="15"/>
      <c r="F738" s="15"/>
      <c r="G738" s="15"/>
      <c r="H738" s="23"/>
    </row>
    <row r="739" spans="1:8" ht="13.2">
      <c r="A739" s="34"/>
      <c r="B739" s="24" t="str">
        <f>IFERROR(VLOOKUP(A739, Tasks!A$89:E$133,2, FALSE), "")</f>
        <v/>
      </c>
      <c r="C739" s="34"/>
      <c r="D739" s="34"/>
      <c r="E739" s="36"/>
      <c r="F739" s="36"/>
      <c r="G739" s="36"/>
      <c r="H739" s="28"/>
    </row>
    <row r="740" spans="1:8" ht="13.2">
      <c r="A740" s="35"/>
      <c r="B740" s="19" t="str">
        <f>IFERROR(VLOOKUP(A740, Tasks!A$89:E$133,2, FALSE), "")</f>
        <v/>
      </c>
      <c r="C740" s="35"/>
      <c r="D740" s="35"/>
      <c r="E740" s="15"/>
      <c r="F740" s="15"/>
      <c r="G740" s="15"/>
      <c r="H740" s="23"/>
    </row>
    <row r="741" spans="1:8" ht="13.2">
      <c r="A741" s="34"/>
      <c r="B741" s="24" t="str">
        <f>IFERROR(VLOOKUP(A741, Tasks!A$89:E$133,2, FALSE), "")</f>
        <v/>
      </c>
      <c r="C741" s="34"/>
      <c r="D741" s="34"/>
      <c r="E741" s="36"/>
      <c r="F741" s="36"/>
      <c r="G741" s="36"/>
      <c r="H741" s="28"/>
    </row>
    <row r="742" spans="1:8" ht="13.2">
      <c r="A742" s="35"/>
      <c r="B742" s="19" t="str">
        <f>IFERROR(VLOOKUP(A742, Tasks!A$89:E$133,2, FALSE), "")</f>
        <v/>
      </c>
      <c r="C742" s="35"/>
      <c r="D742" s="35"/>
      <c r="E742" s="15"/>
      <c r="F742" s="15"/>
      <c r="G742" s="15"/>
      <c r="H742" s="23"/>
    </row>
    <row r="743" spans="1:8" ht="13.2">
      <c r="A743" s="34"/>
      <c r="B743" s="24" t="str">
        <f>IFERROR(VLOOKUP(A743, Tasks!A$89:E$133,2, FALSE), "")</f>
        <v/>
      </c>
      <c r="C743" s="34"/>
      <c r="D743" s="34"/>
      <c r="E743" s="36"/>
      <c r="F743" s="36"/>
      <c r="G743" s="36"/>
      <c r="H743" s="28"/>
    </row>
    <row r="744" spans="1:8" ht="13.2">
      <c r="A744" s="35"/>
      <c r="B744" s="19" t="str">
        <f>IFERROR(VLOOKUP(A744, Tasks!A$89:E$133,2, FALSE), "")</f>
        <v/>
      </c>
      <c r="C744" s="35"/>
      <c r="D744" s="35"/>
      <c r="E744" s="15"/>
      <c r="F744" s="15"/>
      <c r="G744" s="15"/>
      <c r="H744" s="23"/>
    </row>
    <row r="745" spans="1:8" ht="13.2">
      <c r="A745" s="34"/>
      <c r="B745" s="24" t="str">
        <f>IFERROR(VLOOKUP(A745, Tasks!A$89:E$133,2, FALSE), "")</f>
        <v/>
      </c>
      <c r="C745" s="34"/>
      <c r="D745" s="34"/>
      <c r="E745" s="36"/>
      <c r="F745" s="36"/>
      <c r="G745" s="36"/>
      <c r="H745" s="28"/>
    </row>
    <row r="746" spans="1:8" ht="13.2">
      <c r="A746" s="35"/>
      <c r="B746" s="19" t="str">
        <f>IFERROR(VLOOKUP(A746, Tasks!A$89:E$133,2, FALSE), "")</f>
        <v/>
      </c>
      <c r="C746" s="35"/>
      <c r="D746" s="35"/>
      <c r="E746" s="15"/>
      <c r="F746" s="15"/>
      <c r="G746" s="15"/>
      <c r="H746" s="23"/>
    </row>
    <row r="747" spans="1:8" ht="13.2">
      <c r="A747" s="34"/>
      <c r="B747" s="24" t="str">
        <f>IFERROR(VLOOKUP(A747, Tasks!A$89:E$133,2, FALSE), "")</f>
        <v/>
      </c>
      <c r="C747" s="34"/>
      <c r="D747" s="34"/>
      <c r="E747" s="36"/>
      <c r="F747" s="36"/>
      <c r="G747" s="36"/>
      <c r="H747" s="28"/>
    </row>
    <row r="748" spans="1:8" ht="13.2">
      <c r="A748" s="35"/>
      <c r="B748" s="19" t="str">
        <f>IFERROR(VLOOKUP(A748, Tasks!A$89:E$133,2, FALSE), "")</f>
        <v/>
      </c>
      <c r="C748" s="35"/>
      <c r="D748" s="35"/>
      <c r="E748" s="15"/>
      <c r="F748" s="15"/>
      <c r="G748" s="15"/>
      <c r="H748" s="23"/>
    </row>
    <row r="749" spans="1:8" ht="13.2">
      <c r="A749" s="34"/>
      <c r="B749" s="24" t="str">
        <f>IFERROR(VLOOKUP(A749, Tasks!A$89:E$133,2, FALSE), "")</f>
        <v/>
      </c>
      <c r="C749" s="34"/>
      <c r="D749" s="34"/>
      <c r="E749" s="36"/>
      <c r="F749" s="36"/>
      <c r="G749" s="36"/>
      <c r="H749" s="28"/>
    </row>
    <row r="750" spans="1:8" ht="13.2">
      <c r="A750" s="35"/>
      <c r="B750" s="19" t="str">
        <f>IFERROR(VLOOKUP(A750, Tasks!A$89:E$133,2, FALSE), "")</f>
        <v/>
      </c>
      <c r="C750" s="35"/>
      <c r="D750" s="35"/>
      <c r="E750" s="15"/>
      <c r="F750" s="15"/>
      <c r="G750" s="15"/>
      <c r="H750" s="23"/>
    </row>
    <row r="751" spans="1:8" ht="13.2">
      <c r="A751" s="34"/>
      <c r="B751" s="24" t="str">
        <f>IFERROR(VLOOKUP(A751, Tasks!A$89:E$133,2, FALSE), "")</f>
        <v/>
      </c>
      <c r="C751" s="34"/>
      <c r="D751" s="34"/>
      <c r="E751" s="36"/>
      <c r="F751" s="36"/>
      <c r="G751" s="36"/>
      <c r="H751" s="28"/>
    </row>
    <row r="752" spans="1:8" ht="13.2">
      <c r="A752" s="35"/>
      <c r="B752" s="19" t="str">
        <f>IFERROR(VLOOKUP(A752, Tasks!A$89:E$133,2, FALSE), "")</f>
        <v/>
      </c>
      <c r="C752" s="35"/>
      <c r="D752" s="35"/>
      <c r="E752" s="15"/>
      <c r="F752" s="15"/>
      <c r="G752" s="15"/>
      <c r="H752" s="23"/>
    </row>
    <row r="753" spans="1:8" ht="13.2">
      <c r="A753" s="34"/>
      <c r="B753" s="24" t="str">
        <f>IFERROR(VLOOKUP(A753, Tasks!A$89:E$133,2, FALSE), "")</f>
        <v/>
      </c>
      <c r="C753" s="34"/>
      <c r="D753" s="34"/>
      <c r="E753" s="36"/>
      <c r="F753" s="36"/>
      <c r="G753" s="36"/>
      <c r="H753" s="28"/>
    </row>
    <row r="754" spans="1:8" ht="13.2">
      <c r="A754" s="35"/>
      <c r="B754" s="19" t="str">
        <f>IFERROR(VLOOKUP(A754, Tasks!A$89:E$133,2, FALSE), "")</f>
        <v/>
      </c>
      <c r="C754" s="35"/>
      <c r="D754" s="35"/>
      <c r="E754" s="15"/>
      <c r="F754" s="15"/>
      <c r="G754" s="15"/>
      <c r="H754" s="23"/>
    </row>
    <row r="755" spans="1:8" ht="13.2">
      <c r="A755" s="34"/>
      <c r="B755" s="24" t="str">
        <f>IFERROR(VLOOKUP(A755, Tasks!A$89:E$133,2, FALSE), "")</f>
        <v/>
      </c>
      <c r="C755" s="34"/>
      <c r="D755" s="34"/>
      <c r="E755" s="36"/>
      <c r="F755" s="36"/>
      <c r="G755" s="36"/>
      <c r="H755" s="28"/>
    </row>
    <row r="756" spans="1:8" ht="13.2">
      <c r="A756" s="35"/>
      <c r="B756" s="19" t="str">
        <f>IFERROR(VLOOKUP(A756, Tasks!A$89:E$133,2, FALSE), "")</f>
        <v/>
      </c>
      <c r="C756" s="35"/>
      <c r="D756" s="35"/>
      <c r="E756" s="15"/>
      <c r="F756" s="15"/>
      <c r="G756" s="15"/>
      <c r="H756" s="23"/>
    </row>
    <row r="757" spans="1:8" ht="13.2">
      <c r="A757" s="34"/>
      <c r="B757" s="24" t="str">
        <f>IFERROR(VLOOKUP(A757, Tasks!A$89:E$133,2, FALSE), "")</f>
        <v/>
      </c>
      <c r="C757" s="34"/>
      <c r="D757" s="34"/>
      <c r="E757" s="36"/>
      <c r="F757" s="36"/>
      <c r="G757" s="36"/>
      <c r="H757" s="28"/>
    </row>
    <row r="758" spans="1:8" ht="13.2">
      <c r="A758" s="35"/>
      <c r="B758" s="19" t="str">
        <f>IFERROR(VLOOKUP(A758, Tasks!A$89:E$133,2, FALSE), "")</f>
        <v/>
      </c>
      <c r="C758" s="35"/>
      <c r="D758" s="35"/>
      <c r="E758" s="15"/>
      <c r="F758" s="15"/>
      <c r="G758" s="15"/>
      <c r="H758" s="23"/>
    </row>
    <row r="759" spans="1:8" ht="13.2">
      <c r="A759" s="34"/>
      <c r="B759" s="24" t="str">
        <f>IFERROR(VLOOKUP(A759, Tasks!A$89:E$133,2, FALSE), "")</f>
        <v/>
      </c>
      <c r="C759" s="34"/>
      <c r="D759" s="34"/>
      <c r="E759" s="36"/>
      <c r="F759" s="36"/>
      <c r="G759" s="36"/>
      <c r="H759" s="28"/>
    </row>
    <row r="760" spans="1:8" ht="13.2">
      <c r="A760" s="35"/>
      <c r="B760" s="19" t="str">
        <f>IFERROR(VLOOKUP(A760, Tasks!A$89:E$133,2, FALSE), "")</f>
        <v/>
      </c>
      <c r="C760" s="35"/>
      <c r="D760" s="35"/>
      <c r="E760" s="15"/>
      <c r="F760" s="15"/>
      <c r="G760" s="15"/>
      <c r="H760" s="23"/>
    </row>
    <row r="761" spans="1:8" ht="13.2">
      <c r="A761" s="34"/>
      <c r="B761" s="24" t="str">
        <f>IFERROR(VLOOKUP(A761, Tasks!A$89:E$133,2, FALSE), "")</f>
        <v/>
      </c>
      <c r="C761" s="34"/>
      <c r="D761" s="34"/>
      <c r="E761" s="36"/>
      <c r="F761" s="36"/>
      <c r="G761" s="36"/>
      <c r="H761" s="28"/>
    </row>
    <row r="762" spans="1:8" ht="13.2">
      <c r="A762" s="35"/>
      <c r="B762" s="19" t="str">
        <f>IFERROR(VLOOKUP(A762, Tasks!A$89:E$133,2, FALSE), "")</f>
        <v/>
      </c>
      <c r="C762" s="35"/>
      <c r="D762" s="35"/>
      <c r="E762" s="15"/>
      <c r="F762" s="15"/>
      <c r="G762" s="15"/>
      <c r="H762" s="23"/>
    </row>
    <row r="763" spans="1:8" ht="13.2">
      <c r="A763" s="34"/>
      <c r="B763" s="24" t="str">
        <f>IFERROR(VLOOKUP(A763, Tasks!A$89:E$133,2, FALSE), "")</f>
        <v/>
      </c>
      <c r="C763" s="34"/>
      <c r="D763" s="34"/>
      <c r="E763" s="36"/>
      <c r="F763" s="36"/>
      <c r="G763" s="36"/>
      <c r="H763" s="28"/>
    </row>
    <row r="764" spans="1:8" ht="13.2">
      <c r="A764" s="35"/>
      <c r="B764" s="19" t="str">
        <f>IFERROR(VLOOKUP(A764, Tasks!A$89:E$133,2, FALSE), "")</f>
        <v/>
      </c>
      <c r="C764" s="35"/>
      <c r="D764" s="35"/>
      <c r="E764" s="15"/>
      <c r="F764" s="15"/>
      <c r="G764" s="15"/>
      <c r="H764" s="23"/>
    </row>
    <row r="765" spans="1:8" ht="13.2">
      <c r="A765" s="34"/>
      <c r="B765" s="24" t="str">
        <f>IFERROR(VLOOKUP(A765, Tasks!A$89:E$133,2, FALSE), "")</f>
        <v/>
      </c>
      <c r="C765" s="34"/>
      <c r="D765" s="34"/>
      <c r="E765" s="36"/>
      <c r="F765" s="36"/>
      <c r="G765" s="36"/>
      <c r="H765" s="28"/>
    </row>
    <row r="766" spans="1:8" ht="13.2">
      <c r="A766" s="35"/>
      <c r="B766" s="19" t="str">
        <f>IFERROR(VLOOKUP(A766, Tasks!A$89:E$133,2, FALSE), "")</f>
        <v/>
      </c>
      <c r="C766" s="35"/>
      <c r="D766" s="35"/>
      <c r="E766" s="15"/>
      <c r="F766" s="15"/>
      <c r="G766" s="15"/>
      <c r="H766" s="23"/>
    </row>
    <row r="767" spans="1:8" ht="13.2">
      <c r="A767" s="34"/>
      <c r="B767" s="24" t="str">
        <f>IFERROR(VLOOKUP(A767, Tasks!A$89:E$133,2, FALSE), "")</f>
        <v/>
      </c>
      <c r="C767" s="34"/>
      <c r="D767" s="34"/>
      <c r="E767" s="36"/>
      <c r="F767" s="36"/>
      <c r="G767" s="36"/>
      <c r="H767" s="28"/>
    </row>
    <row r="768" spans="1:8" ht="13.2">
      <c r="A768" s="35"/>
      <c r="B768" s="19" t="str">
        <f>IFERROR(VLOOKUP(A768, Tasks!A$89:E$133,2, FALSE), "")</f>
        <v/>
      </c>
      <c r="C768" s="35"/>
      <c r="D768" s="35"/>
      <c r="E768" s="15"/>
      <c r="F768" s="15"/>
      <c r="G768" s="15"/>
      <c r="H768" s="23"/>
    </row>
    <row r="769" spans="1:8" ht="13.2">
      <c r="A769" s="34"/>
      <c r="B769" s="24" t="str">
        <f>IFERROR(VLOOKUP(A769, Tasks!A$89:E$133,2, FALSE), "")</f>
        <v/>
      </c>
      <c r="C769" s="34"/>
      <c r="D769" s="34"/>
      <c r="E769" s="36"/>
      <c r="F769" s="36"/>
      <c r="G769" s="36"/>
      <c r="H769" s="28"/>
    </row>
    <row r="770" spans="1:8" ht="13.2">
      <c r="A770" s="35"/>
      <c r="B770" s="19" t="str">
        <f>IFERROR(VLOOKUP(A770, Tasks!A$89:E$133,2, FALSE), "")</f>
        <v/>
      </c>
      <c r="C770" s="35"/>
      <c r="D770" s="35"/>
      <c r="E770" s="15"/>
      <c r="F770" s="15"/>
      <c r="G770" s="15"/>
      <c r="H770" s="23"/>
    </row>
    <row r="771" spans="1:8" ht="13.2">
      <c r="A771" s="34"/>
      <c r="B771" s="24" t="str">
        <f>IFERROR(VLOOKUP(A771, Tasks!A$89:E$133,2, FALSE), "")</f>
        <v/>
      </c>
      <c r="C771" s="34"/>
      <c r="D771" s="34"/>
      <c r="E771" s="36"/>
      <c r="F771" s="36"/>
      <c r="G771" s="36"/>
      <c r="H771" s="28"/>
    </row>
    <row r="772" spans="1:8" ht="13.2">
      <c r="A772" s="35"/>
      <c r="B772" s="19" t="str">
        <f>IFERROR(VLOOKUP(A772, Tasks!A$89:E$133,2, FALSE), "")</f>
        <v/>
      </c>
      <c r="C772" s="35"/>
      <c r="D772" s="35"/>
      <c r="E772" s="15"/>
      <c r="F772" s="15"/>
      <c r="G772" s="15"/>
      <c r="H772" s="23"/>
    </row>
    <row r="773" spans="1:8" ht="13.2">
      <c r="A773" s="34"/>
      <c r="B773" s="24" t="str">
        <f>IFERROR(VLOOKUP(A773, Tasks!A$89:E$133,2, FALSE), "")</f>
        <v/>
      </c>
      <c r="C773" s="34"/>
      <c r="D773" s="34"/>
      <c r="E773" s="36"/>
      <c r="F773" s="36"/>
      <c r="G773" s="36"/>
      <c r="H773" s="28"/>
    </row>
    <row r="774" spans="1:8" ht="13.2">
      <c r="A774" s="35"/>
      <c r="B774" s="19" t="str">
        <f>IFERROR(VLOOKUP(A774, Tasks!A$89:E$133,2, FALSE), "")</f>
        <v/>
      </c>
      <c r="C774" s="35"/>
      <c r="D774" s="35"/>
      <c r="E774" s="15"/>
      <c r="F774" s="15"/>
      <c r="G774" s="15"/>
      <c r="H774" s="23"/>
    </row>
    <row r="775" spans="1:8" ht="13.2">
      <c r="A775" s="34"/>
      <c r="B775" s="24" t="str">
        <f>IFERROR(VLOOKUP(A775, Tasks!A$89:E$133,2, FALSE), "")</f>
        <v/>
      </c>
      <c r="C775" s="34"/>
      <c r="D775" s="34"/>
      <c r="E775" s="36"/>
      <c r="F775" s="36"/>
      <c r="G775" s="36"/>
      <c r="H775" s="28"/>
    </row>
    <row r="776" spans="1:8" ht="13.2">
      <c r="A776" s="35"/>
      <c r="B776" s="19" t="str">
        <f>IFERROR(VLOOKUP(A776, Tasks!A$89:E$133,2, FALSE), "")</f>
        <v/>
      </c>
      <c r="C776" s="35"/>
      <c r="D776" s="35"/>
      <c r="E776" s="15"/>
      <c r="F776" s="15"/>
      <c r="G776" s="15"/>
      <c r="H776" s="23"/>
    </row>
    <row r="777" spans="1:8" ht="13.2">
      <c r="A777" s="34"/>
      <c r="B777" s="24" t="str">
        <f>IFERROR(VLOOKUP(A777, Tasks!A$89:E$133,2, FALSE), "")</f>
        <v/>
      </c>
      <c r="C777" s="34"/>
      <c r="D777" s="34"/>
      <c r="E777" s="36"/>
      <c r="F777" s="36"/>
      <c r="G777" s="36"/>
      <c r="H777" s="28"/>
    </row>
    <row r="778" spans="1:8" ht="13.2">
      <c r="A778" s="35"/>
      <c r="B778" s="19" t="str">
        <f>IFERROR(VLOOKUP(A778, Tasks!A$89:E$133,2, FALSE), "")</f>
        <v/>
      </c>
      <c r="C778" s="35"/>
      <c r="D778" s="35"/>
      <c r="E778" s="15"/>
      <c r="F778" s="15"/>
      <c r="G778" s="15"/>
      <c r="H778" s="23"/>
    </row>
    <row r="779" spans="1:8" ht="13.2">
      <c r="A779" s="34"/>
      <c r="B779" s="24" t="str">
        <f>IFERROR(VLOOKUP(A779, Tasks!A$89:E$133,2, FALSE), "")</f>
        <v/>
      </c>
      <c r="C779" s="34"/>
      <c r="D779" s="34"/>
      <c r="E779" s="36"/>
      <c r="F779" s="36"/>
      <c r="G779" s="36"/>
      <c r="H779" s="28"/>
    </row>
    <row r="780" spans="1:8" ht="13.2">
      <c r="A780" s="35"/>
      <c r="B780" s="19" t="str">
        <f>IFERROR(VLOOKUP(A780, Tasks!A$89:E$133,2, FALSE), "")</f>
        <v/>
      </c>
      <c r="C780" s="35"/>
      <c r="D780" s="35"/>
      <c r="E780" s="15"/>
      <c r="F780" s="15"/>
      <c r="G780" s="15"/>
      <c r="H780" s="23"/>
    </row>
    <row r="781" spans="1:8" ht="13.2">
      <c r="A781" s="34"/>
      <c r="B781" s="24" t="str">
        <f>IFERROR(VLOOKUP(A781, Tasks!A$89:E$133,2, FALSE), "")</f>
        <v/>
      </c>
      <c r="C781" s="34"/>
      <c r="D781" s="34"/>
      <c r="E781" s="36"/>
      <c r="F781" s="36"/>
      <c r="G781" s="36"/>
      <c r="H781" s="28"/>
    </row>
    <row r="782" spans="1:8" ht="13.2">
      <c r="A782" s="35"/>
      <c r="B782" s="19" t="str">
        <f>IFERROR(VLOOKUP(A782, Tasks!A$89:E$133,2, FALSE), "")</f>
        <v/>
      </c>
      <c r="C782" s="35"/>
      <c r="D782" s="35"/>
      <c r="E782" s="15"/>
      <c r="F782" s="15"/>
      <c r="G782" s="15"/>
      <c r="H782" s="23"/>
    </row>
    <row r="783" spans="1:8" ht="13.2">
      <c r="A783" s="34"/>
      <c r="B783" s="24" t="str">
        <f>IFERROR(VLOOKUP(A783, Tasks!A$89:E$133,2, FALSE), "")</f>
        <v/>
      </c>
      <c r="C783" s="34"/>
      <c r="D783" s="34"/>
      <c r="E783" s="36"/>
      <c r="F783" s="36"/>
      <c r="G783" s="36"/>
      <c r="H783" s="28"/>
    </row>
    <row r="784" spans="1:8" ht="13.2">
      <c r="A784" s="35"/>
      <c r="B784" s="19" t="str">
        <f>IFERROR(VLOOKUP(A784, Tasks!A$89:E$133,2, FALSE), "")</f>
        <v/>
      </c>
      <c r="C784" s="35"/>
      <c r="D784" s="35"/>
      <c r="E784" s="15"/>
      <c r="F784" s="15"/>
      <c r="G784" s="15"/>
      <c r="H784" s="23"/>
    </row>
    <row r="785" spans="1:8" ht="13.2">
      <c r="A785" s="34"/>
      <c r="B785" s="24" t="str">
        <f>IFERROR(VLOOKUP(A785, Tasks!A$89:E$133,2, FALSE), "")</f>
        <v/>
      </c>
      <c r="C785" s="34"/>
      <c r="D785" s="34"/>
      <c r="E785" s="36"/>
      <c r="F785" s="36"/>
      <c r="G785" s="36"/>
      <c r="H785" s="28"/>
    </row>
    <row r="786" spans="1:8" ht="13.2">
      <c r="A786" s="35"/>
      <c r="B786" s="19" t="str">
        <f>IFERROR(VLOOKUP(A786, Tasks!A$89:E$133,2, FALSE), "")</f>
        <v/>
      </c>
      <c r="C786" s="35"/>
      <c r="D786" s="35"/>
      <c r="E786" s="15"/>
      <c r="F786" s="15"/>
      <c r="G786" s="15"/>
      <c r="H786" s="23"/>
    </row>
    <row r="787" spans="1:8" ht="13.2">
      <c r="A787" s="34"/>
      <c r="B787" s="24" t="str">
        <f>IFERROR(VLOOKUP(A787, Tasks!A$89:E$133,2, FALSE), "")</f>
        <v/>
      </c>
      <c r="C787" s="34"/>
      <c r="D787" s="34"/>
      <c r="E787" s="36"/>
      <c r="F787" s="36"/>
      <c r="G787" s="36"/>
      <c r="H787" s="28"/>
    </row>
    <row r="788" spans="1:8" ht="13.2">
      <c r="A788" s="35"/>
      <c r="B788" s="19" t="str">
        <f>IFERROR(VLOOKUP(A788, Tasks!A$89:E$133,2, FALSE), "")</f>
        <v/>
      </c>
      <c r="C788" s="35"/>
      <c r="D788" s="35"/>
      <c r="E788" s="15"/>
      <c r="F788" s="15"/>
      <c r="G788" s="15"/>
      <c r="H788" s="23"/>
    </row>
    <row r="789" spans="1:8" ht="13.2">
      <c r="A789" s="34"/>
      <c r="B789" s="24" t="str">
        <f>IFERROR(VLOOKUP(A789, Tasks!A$89:E$133,2, FALSE), "")</f>
        <v/>
      </c>
      <c r="C789" s="34"/>
      <c r="D789" s="34"/>
      <c r="E789" s="36"/>
      <c r="F789" s="36"/>
      <c r="G789" s="36"/>
      <c r="H789" s="28"/>
    </row>
    <row r="790" spans="1:8" ht="13.2">
      <c r="A790" s="35"/>
      <c r="B790" s="19" t="str">
        <f>IFERROR(VLOOKUP(A790, Tasks!A$89:E$133,2, FALSE), "")</f>
        <v/>
      </c>
      <c r="C790" s="35"/>
      <c r="D790" s="35"/>
      <c r="E790" s="15"/>
      <c r="F790" s="15"/>
      <c r="G790" s="15"/>
      <c r="H790" s="23"/>
    </row>
    <row r="791" spans="1:8" ht="13.2">
      <c r="A791" s="34"/>
      <c r="B791" s="24" t="str">
        <f>IFERROR(VLOOKUP(A791, Tasks!A$89:E$133,2, FALSE), "")</f>
        <v/>
      </c>
      <c r="C791" s="34"/>
      <c r="D791" s="34"/>
      <c r="E791" s="36"/>
      <c r="F791" s="36"/>
      <c r="G791" s="36"/>
      <c r="H791" s="28"/>
    </row>
    <row r="792" spans="1:8" ht="13.2">
      <c r="A792" s="35"/>
      <c r="B792" s="19" t="str">
        <f>IFERROR(VLOOKUP(A792, Tasks!A$89:E$133,2, FALSE), "")</f>
        <v/>
      </c>
      <c r="C792" s="35"/>
      <c r="D792" s="35"/>
      <c r="E792" s="15"/>
      <c r="F792" s="15"/>
      <c r="G792" s="15"/>
      <c r="H792" s="23"/>
    </row>
    <row r="793" spans="1:8" ht="13.2">
      <c r="A793" s="34"/>
      <c r="B793" s="24" t="str">
        <f>IFERROR(VLOOKUP(A793, Tasks!A$89:E$133,2, FALSE), "")</f>
        <v/>
      </c>
      <c r="C793" s="34"/>
      <c r="D793" s="34"/>
      <c r="E793" s="36"/>
      <c r="F793" s="36"/>
      <c r="G793" s="36"/>
      <c r="H793" s="28"/>
    </row>
    <row r="794" spans="1:8" ht="13.2">
      <c r="A794" s="35"/>
      <c r="B794" s="19" t="str">
        <f>IFERROR(VLOOKUP(A794, Tasks!A$89:E$133,2, FALSE), "")</f>
        <v/>
      </c>
      <c r="C794" s="35"/>
      <c r="D794" s="35"/>
      <c r="E794" s="15"/>
      <c r="F794" s="15"/>
      <c r="G794" s="15"/>
      <c r="H794" s="23"/>
    </row>
    <row r="795" spans="1:8" ht="13.2">
      <c r="A795" s="34"/>
      <c r="B795" s="24" t="str">
        <f>IFERROR(VLOOKUP(A795, Tasks!A$89:E$133,2, FALSE), "")</f>
        <v/>
      </c>
      <c r="C795" s="34"/>
      <c r="D795" s="34"/>
      <c r="E795" s="36"/>
      <c r="F795" s="36"/>
      <c r="G795" s="36"/>
      <c r="H795" s="28"/>
    </row>
    <row r="796" spans="1:8" ht="13.2">
      <c r="A796" s="35"/>
      <c r="B796" s="19" t="str">
        <f>IFERROR(VLOOKUP(A796, Tasks!A$89:E$133,2, FALSE), "")</f>
        <v/>
      </c>
      <c r="C796" s="35"/>
      <c r="D796" s="35"/>
      <c r="E796" s="15"/>
      <c r="F796" s="15"/>
      <c r="G796" s="15"/>
      <c r="H796" s="23"/>
    </row>
    <row r="797" spans="1:8" ht="13.2">
      <c r="A797" s="34"/>
      <c r="B797" s="24" t="str">
        <f>IFERROR(VLOOKUP(A797, Tasks!A$89:E$133,2, FALSE), "")</f>
        <v/>
      </c>
      <c r="C797" s="34"/>
      <c r="D797" s="34"/>
      <c r="E797" s="36"/>
      <c r="F797" s="36"/>
      <c r="G797" s="36"/>
      <c r="H797" s="28"/>
    </row>
    <row r="798" spans="1:8" ht="13.2">
      <c r="A798" s="35"/>
      <c r="B798" s="19" t="str">
        <f>IFERROR(VLOOKUP(A798, Tasks!A$89:E$133,2, FALSE), "")</f>
        <v/>
      </c>
      <c r="C798" s="35"/>
      <c r="D798" s="35"/>
      <c r="E798" s="15"/>
      <c r="F798" s="15"/>
      <c r="G798" s="15"/>
      <c r="H798" s="23"/>
    </row>
    <row r="799" spans="1:8" ht="13.2">
      <c r="A799" s="34"/>
      <c r="B799" s="24" t="str">
        <f>IFERROR(VLOOKUP(A799, Tasks!A$89:E$133,2, FALSE), "")</f>
        <v/>
      </c>
      <c r="C799" s="34"/>
      <c r="D799" s="34"/>
      <c r="E799" s="36"/>
      <c r="F799" s="36"/>
      <c r="G799" s="36"/>
      <c r="H799" s="28"/>
    </row>
    <row r="800" spans="1:8" ht="13.2">
      <c r="A800" s="35"/>
      <c r="B800" s="19" t="str">
        <f>IFERROR(VLOOKUP(A800, Tasks!A$89:E$133,2, FALSE), "")</f>
        <v/>
      </c>
      <c r="C800" s="35"/>
      <c r="D800" s="35"/>
      <c r="E800" s="15"/>
      <c r="F800" s="15"/>
      <c r="G800" s="15"/>
      <c r="H800" s="23"/>
    </row>
    <row r="801" spans="1:8" ht="13.2">
      <c r="A801" s="34"/>
      <c r="B801" s="24" t="str">
        <f>IFERROR(VLOOKUP(A801, Tasks!A$89:E$133,2, FALSE), "")</f>
        <v/>
      </c>
      <c r="C801" s="34"/>
      <c r="D801" s="34"/>
      <c r="E801" s="36"/>
      <c r="F801" s="36"/>
      <c r="G801" s="36"/>
      <c r="H801" s="28"/>
    </row>
    <row r="802" spans="1:8" ht="13.2">
      <c r="A802" s="35"/>
      <c r="B802" s="19" t="str">
        <f>IFERROR(VLOOKUP(A802, Tasks!A$89:E$133,2, FALSE), "")</f>
        <v/>
      </c>
      <c r="C802" s="35"/>
      <c r="D802" s="35"/>
      <c r="E802" s="15"/>
      <c r="F802" s="15"/>
      <c r="G802" s="15"/>
      <c r="H802" s="23"/>
    </row>
    <row r="803" spans="1:8" ht="13.2">
      <c r="A803" s="34"/>
      <c r="B803" s="24" t="str">
        <f>IFERROR(VLOOKUP(A803, Tasks!A$89:E$133,2, FALSE), "")</f>
        <v/>
      </c>
      <c r="C803" s="34"/>
      <c r="D803" s="34"/>
      <c r="E803" s="36"/>
      <c r="F803" s="36"/>
      <c r="G803" s="36"/>
      <c r="H803" s="28"/>
    </row>
    <row r="804" spans="1:8" ht="13.2">
      <c r="A804" s="35"/>
      <c r="B804" s="19" t="str">
        <f>IFERROR(VLOOKUP(A804, Tasks!A$89:E$133,2, FALSE), "")</f>
        <v/>
      </c>
      <c r="C804" s="35"/>
      <c r="D804" s="35"/>
      <c r="E804" s="15"/>
      <c r="F804" s="15"/>
      <c r="G804" s="15"/>
      <c r="H804" s="23"/>
    </row>
    <row r="805" spans="1:8" ht="13.2">
      <c r="A805" s="34"/>
      <c r="B805" s="24" t="str">
        <f>IFERROR(VLOOKUP(A805, Tasks!A$89:E$133,2, FALSE), "")</f>
        <v/>
      </c>
      <c r="C805" s="34"/>
      <c r="D805" s="34"/>
      <c r="E805" s="36"/>
      <c r="F805" s="36"/>
      <c r="G805" s="36"/>
      <c r="H805" s="28"/>
    </row>
    <row r="806" spans="1:8" ht="13.2">
      <c r="A806" s="35"/>
      <c r="B806" s="19" t="str">
        <f>IFERROR(VLOOKUP(A806, Tasks!A$89:E$133,2, FALSE), "")</f>
        <v/>
      </c>
      <c r="C806" s="35"/>
      <c r="D806" s="35"/>
      <c r="E806" s="15"/>
      <c r="F806" s="15"/>
      <c r="G806" s="15"/>
      <c r="H806" s="23"/>
    </row>
    <row r="807" spans="1:8" ht="13.2">
      <c r="A807" s="34"/>
      <c r="B807" s="24" t="str">
        <f>IFERROR(VLOOKUP(A807, Tasks!A$89:E$133,2, FALSE), "")</f>
        <v/>
      </c>
      <c r="C807" s="34"/>
      <c r="D807" s="34"/>
      <c r="E807" s="36"/>
      <c r="F807" s="36"/>
      <c r="G807" s="36"/>
      <c r="H807" s="28"/>
    </row>
    <row r="808" spans="1:8" ht="13.2">
      <c r="A808" s="35"/>
      <c r="B808" s="19" t="str">
        <f>IFERROR(VLOOKUP(A808, Tasks!A$89:E$133,2, FALSE), "")</f>
        <v/>
      </c>
      <c r="C808" s="35"/>
      <c r="D808" s="35"/>
      <c r="E808" s="15"/>
      <c r="F808" s="15"/>
      <c r="G808" s="15"/>
      <c r="H808" s="23"/>
    </row>
    <row r="809" spans="1:8" ht="13.2">
      <c r="A809" s="34"/>
      <c r="B809" s="24" t="str">
        <f>IFERROR(VLOOKUP(A809, Tasks!A$89:E$133,2, FALSE), "")</f>
        <v/>
      </c>
      <c r="C809" s="34"/>
      <c r="D809" s="34"/>
      <c r="E809" s="36"/>
      <c r="F809" s="36"/>
      <c r="G809" s="36"/>
      <c r="H809" s="28"/>
    </row>
    <row r="810" spans="1:8" ht="13.2">
      <c r="A810" s="35"/>
      <c r="B810" s="19" t="str">
        <f>IFERROR(VLOOKUP(A810, Tasks!A$89:E$133,2, FALSE), "")</f>
        <v/>
      </c>
      <c r="C810" s="35"/>
      <c r="D810" s="35"/>
      <c r="E810" s="15"/>
      <c r="F810" s="15"/>
      <c r="G810" s="15"/>
      <c r="H810" s="23"/>
    </row>
    <row r="811" spans="1:8" ht="13.2">
      <c r="A811" s="34"/>
      <c r="B811" s="24" t="str">
        <f>IFERROR(VLOOKUP(A811, Tasks!A$89:E$133,2, FALSE), "")</f>
        <v/>
      </c>
      <c r="C811" s="34"/>
      <c r="D811" s="34"/>
      <c r="E811" s="36"/>
      <c r="F811" s="36"/>
      <c r="G811" s="36"/>
      <c r="H811" s="28"/>
    </row>
    <row r="812" spans="1:8" ht="13.2">
      <c r="A812" s="35"/>
      <c r="B812" s="19" t="str">
        <f>IFERROR(VLOOKUP(A812, Tasks!A$89:E$133,2, FALSE), "")</f>
        <v/>
      </c>
      <c r="C812" s="35"/>
      <c r="D812" s="35"/>
      <c r="E812" s="15"/>
      <c r="F812" s="15"/>
      <c r="G812" s="15"/>
      <c r="H812" s="23"/>
    </row>
    <row r="813" spans="1:8" ht="13.2">
      <c r="A813" s="34"/>
      <c r="B813" s="24" t="str">
        <f>IFERROR(VLOOKUP(A813, Tasks!A$89:E$133,2, FALSE), "")</f>
        <v/>
      </c>
      <c r="C813" s="34"/>
      <c r="D813" s="34"/>
      <c r="E813" s="36"/>
      <c r="F813" s="36"/>
      <c r="G813" s="36"/>
      <c r="H813" s="28"/>
    </row>
    <row r="814" spans="1:8" ht="13.2">
      <c r="A814" s="35"/>
      <c r="B814" s="19" t="str">
        <f>IFERROR(VLOOKUP(A814, Tasks!A$89:E$133,2, FALSE), "")</f>
        <v/>
      </c>
      <c r="C814" s="35"/>
      <c r="D814" s="35"/>
      <c r="E814" s="15"/>
      <c r="F814" s="15"/>
      <c r="G814" s="15"/>
      <c r="H814" s="23"/>
    </row>
    <row r="815" spans="1:8" ht="13.2">
      <c r="A815" s="34"/>
      <c r="B815" s="24" t="str">
        <f>IFERROR(VLOOKUP(A815, Tasks!A$89:E$133,2, FALSE), "")</f>
        <v/>
      </c>
      <c r="C815" s="34"/>
      <c r="D815" s="34"/>
      <c r="E815" s="36"/>
      <c r="F815" s="36"/>
      <c r="G815" s="36"/>
      <c r="H815" s="28"/>
    </row>
    <row r="816" spans="1:8" ht="13.2">
      <c r="A816" s="35"/>
      <c r="B816" s="19" t="str">
        <f>IFERROR(VLOOKUP(A816, Tasks!A$89:E$133,2, FALSE), "")</f>
        <v/>
      </c>
      <c r="C816" s="35"/>
      <c r="D816" s="35"/>
      <c r="E816" s="15"/>
      <c r="F816" s="15"/>
      <c r="G816" s="15"/>
      <c r="H816" s="23"/>
    </row>
    <row r="817" spans="1:8" ht="13.2">
      <c r="A817" s="34"/>
      <c r="B817" s="24" t="str">
        <f>IFERROR(VLOOKUP(A817, Tasks!A$89:E$133,2, FALSE), "")</f>
        <v/>
      </c>
      <c r="C817" s="34"/>
      <c r="D817" s="34"/>
      <c r="E817" s="36"/>
      <c r="F817" s="36"/>
      <c r="G817" s="36"/>
      <c r="H817" s="28"/>
    </row>
    <row r="818" spans="1:8" ht="13.2">
      <c r="A818" s="35"/>
      <c r="B818" s="19" t="str">
        <f>IFERROR(VLOOKUP(A818, Tasks!A$89:E$133,2, FALSE), "")</f>
        <v/>
      </c>
      <c r="C818" s="35"/>
      <c r="D818" s="35"/>
      <c r="E818" s="15"/>
      <c r="F818" s="15"/>
      <c r="G818" s="15"/>
      <c r="H818" s="23"/>
    </row>
    <row r="819" spans="1:8" ht="13.2">
      <c r="A819" s="34"/>
      <c r="B819" s="24" t="str">
        <f>IFERROR(VLOOKUP(A819, Tasks!A$89:E$133,2, FALSE), "")</f>
        <v/>
      </c>
      <c r="C819" s="34"/>
      <c r="D819" s="34"/>
      <c r="E819" s="36"/>
      <c r="F819" s="36"/>
      <c r="G819" s="36"/>
      <c r="H819" s="28"/>
    </row>
    <row r="820" spans="1:8" ht="13.2">
      <c r="A820" s="35"/>
      <c r="B820" s="19" t="str">
        <f>IFERROR(VLOOKUP(A820, Tasks!A$89:E$133,2, FALSE), "")</f>
        <v/>
      </c>
      <c r="C820" s="35"/>
      <c r="D820" s="35"/>
      <c r="E820" s="15"/>
      <c r="F820" s="15"/>
      <c r="G820" s="15"/>
      <c r="H820" s="23"/>
    </row>
    <row r="821" spans="1:8" ht="13.2">
      <c r="A821" s="34"/>
      <c r="B821" s="24" t="str">
        <f>IFERROR(VLOOKUP(A821, Tasks!A$89:E$133,2, FALSE), "")</f>
        <v/>
      </c>
      <c r="C821" s="34"/>
      <c r="D821" s="34"/>
      <c r="E821" s="36"/>
      <c r="F821" s="36"/>
      <c r="G821" s="36"/>
      <c r="H821" s="28"/>
    </row>
    <row r="822" spans="1:8" ht="13.2">
      <c r="A822" s="35"/>
      <c r="B822" s="19" t="str">
        <f>IFERROR(VLOOKUP(A822, Tasks!A$89:E$133,2, FALSE), "")</f>
        <v/>
      </c>
      <c r="C822" s="35"/>
      <c r="D822" s="35"/>
      <c r="E822" s="15"/>
      <c r="F822" s="15"/>
      <c r="G822" s="15"/>
      <c r="H822" s="23"/>
    </row>
    <row r="823" spans="1:8" ht="13.2">
      <c r="A823" s="34"/>
      <c r="B823" s="24" t="str">
        <f>IFERROR(VLOOKUP(A823, Tasks!A$89:E$133,2, FALSE), "")</f>
        <v/>
      </c>
      <c r="C823" s="34"/>
      <c r="D823" s="34"/>
      <c r="E823" s="36"/>
      <c r="F823" s="36"/>
      <c r="G823" s="36"/>
      <c r="H823" s="28"/>
    </row>
    <row r="824" spans="1:8" ht="13.2">
      <c r="A824" s="35"/>
      <c r="B824" s="19" t="str">
        <f>IFERROR(VLOOKUP(A824, Tasks!A$89:E$133,2, FALSE), "")</f>
        <v/>
      </c>
      <c r="C824" s="35"/>
      <c r="D824" s="35"/>
      <c r="E824" s="15"/>
      <c r="F824" s="15"/>
      <c r="G824" s="15"/>
      <c r="H824" s="23"/>
    </row>
    <row r="825" spans="1:8" ht="13.2">
      <c r="A825" s="34"/>
      <c r="B825" s="24" t="str">
        <f>IFERROR(VLOOKUP(A825, Tasks!A$89:E$133,2, FALSE), "")</f>
        <v/>
      </c>
      <c r="C825" s="34"/>
      <c r="D825" s="34"/>
      <c r="E825" s="36"/>
      <c r="F825" s="36"/>
      <c r="G825" s="36"/>
      <c r="H825" s="28"/>
    </row>
    <row r="826" spans="1:8" ht="13.2">
      <c r="A826" s="35"/>
      <c r="B826" s="19" t="str">
        <f>IFERROR(VLOOKUP(A826, Tasks!A$89:E$133,2, FALSE), "")</f>
        <v/>
      </c>
      <c r="C826" s="35"/>
      <c r="D826" s="35"/>
      <c r="E826" s="15"/>
      <c r="F826" s="15"/>
      <c r="G826" s="15"/>
      <c r="H826" s="23"/>
    </row>
    <row r="827" spans="1:8" ht="13.2">
      <c r="A827" s="34"/>
      <c r="B827" s="24" t="str">
        <f>IFERROR(VLOOKUP(A827, Tasks!A$89:E$133,2, FALSE), "")</f>
        <v/>
      </c>
      <c r="C827" s="34"/>
      <c r="D827" s="34"/>
      <c r="E827" s="36"/>
      <c r="F827" s="36"/>
      <c r="G827" s="36"/>
      <c r="H827" s="28"/>
    </row>
    <row r="828" spans="1:8" ht="13.2">
      <c r="A828" s="35"/>
      <c r="B828" s="19" t="str">
        <f>IFERROR(VLOOKUP(A828, Tasks!A$89:E$133,2, FALSE), "")</f>
        <v/>
      </c>
      <c r="C828" s="35"/>
      <c r="D828" s="35"/>
      <c r="E828" s="15"/>
      <c r="F828" s="15"/>
      <c r="G828" s="15"/>
      <c r="H828" s="23"/>
    </row>
    <row r="829" spans="1:8" ht="13.2">
      <c r="A829" s="34"/>
      <c r="B829" s="24" t="str">
        <f>IFERROR(VLOOKUP(A829, Tasks!A$89:E$133,2, FALSE), "")</f>
        <v/>
      </c>
      <c r="C829" s="34"/>
      <c r="D829" s="34"/>
      <c r="E829" s="36"/>
      <c r="F829" s="36"/>
      <c r="G829" s="36"/>
      <c r="H829" s="28"/>
    </row>
    <row r="830" spans="1:8" ht="13.2">
      <c r="A830" s="35"/>
      <c r="B830" s="19" t="str">
        <f>IFERROR(VLOOKUP(A830, Tasks!A$89:E$133,2, FALSE), "")</f>
        <v/>
      </c>
      <c r="C830" s="35"/>
      <c r="D830" s="35"/>
      <c r="E830" s="15"/>
      <c r="F830" s="15"/>
      <c r="G830" s="15"/>
      <c r="H830" s="23"/>
    </row>
    <row r="831" spans="1:8" ht="13.2">
      <c r="A831" s="34"/>
      <c r="B831" s="24" t="str">
        <f>IFERROR(VLOOKUP(A831, Tasks!A$89:E$133,2, FALSE), "")</f>
        <v/>
      </c>
      <c r="C831" s="34"/>
      <c r="D831" s="34"/>
      <c r="E831" s="36"/>
      <c r="F831" s="36"/>
      <c r="G831" s="36"/>
      <c r="H831" s="28"/>
    </row>
    <row r="832" spans="1:8" ht="13.2">
      <c r="A832" s="35"/>
      <c r="B832" s="19" t="str">
        <f>IFERROR(VLOOKUP(A832, Tasks!A$89:E$133,2, FALSE), "")</f>
        <v/>
      </c>
      <c r="C832" s="35"/>
      <c r="D832" s="35"/>
      <c r="E832" s="15"/>
      <c r="F832" s="15"/>
      <c r="G832" s="15"/>
      <c r="H832" s="23"/>
    </row>
    <row r="833" spans="1:8" ht="13.2">
      <c r="A833" s="34"/>
      <c r="B833" s="24" t="str">
        <f>IFERROR(VLOOKUP(A833, Tasks!A$89:E$133,2, FALSE), "")</f>
        <v/>
      </c>
      <c r="C833" s="34"/>
      <c r="D833" s="34"/>
      <c r="E833" s="36"/>
      <c r="F833" s="36"/>
      <c r="G833" s="36"/>
      <c r="H833" s="28"/>
    </row>
    <row r="834" spans="1:8" ht="13.2">
      <c r="A834" s="35"/>
      <c r="B834" s="19" t="str">
        <f>IFERROR(VLOOKUP(A834, Tasks!A$89:E$133,2, FALSE), "")</f>
        <v/>
      </c>
      <c r="C834" s="35"/>
      <c r="D834" s="35"/>
      <c r="E834" s="15"/>
      <c r="F834" s="15"/>
      <c r="G834" s="15"/>
      <c r="H834" s="23"/>
    </row>
    <row r="835" spans="1:8" ht="13.2">
      <c r="A835" s="34"/>
      <c r="B835" s="24" t="str">
        <f>IFERROR(VLOOKUP(A835, Tasks!A$89:E$133,2, FALSE), "")</f>
        <v/>
      </c>
      <c r="C835" s="34"/>
      <c r="D835" s="34"/>
      <c r="E835" s="36"/>
      <c r="F835" s="36"/>
      <c r="G835" s="36"/>
      <c r="H835" s="28"/>
    </row>
    <row r="836" spans="1:8" ht="13.2">
      <c r="A836" s="35"/>
      <c r="B836" s="19" t="str">
        <f>IFERROR(VLOOKUP(A836, Tasks!A$89:E$133,2, FALSE), "")</f>
        <v/>
      </c>
      <c r="C836" s="35"/>
      <c r="D836" s="35"/>
      <c r="E836" s="15"/>
      <c r="F836" s="15"/>
      <c r="G836" s="15"/>
      <c r="H836" s="23"/>
    </row>
    <row r="837" spans="1:8" ht="13.2">
      <c r="A837" s="34"/>
      <c r="B837" s="24" t="str">
        <f>IFERROR(VLOOKUP(A837, Tasks!A$89:E$133,2, FALSE), "")</f>
        <v/>
      </c>
      <c r="C837" s="34"/>
      <c r="D837" s="34"/>
      <c r="E837" s="36"/>
      <c r="F837" s="36"/>
      <c r="G837" s="36"/>
      <c r="H837" s="28"/>
    </row>
    <row r="838" spans="1:8" ht="13.2">
      <c r="A838" s="35"/>
      <c r="B838" s="19" t="str">
        <f>IFERROR(VLOOKUP(A838, Tasks!A$89:E$133,2, FALSE), "")</f>
        <v/>
      </c>
      <c r="C838" s="35"/>
      <c r="D838" s="35"/>
      <c r="E838" s="15"/>
      <c r="F838" s="15"/>
      <c r="G838" s="15"/>
      <c r="H838" s="23"/>
    </row>
    <row r="839" spans="1:8" ht="13.2">
      <c r="A839" s="34"/>
      <c r="B839" s="24" t="str">
        <f>IFERROR(VLOOKUP(A839, Tasks!A$89:E$133,2, FALSE), "")</f>
        <v/>
      </c>
      <c r="C839" s="34"/>
      <c r="D839" s="34"/>
      <c r="E839" s="36"/>
      <c r="F839" s="36"/>
      <c r="G839" s="36"/>
      <c r="H839" s="28"/>
    </row>
    <row r="840" spans="1:8" ht="13.2">
      <c r="A840" s="35"/>
      <c r="B840" s="19" t="str">
        <f>IFERROR(VLOOKUP(A840, Tasks!A$89:E$133,2, FALSE), "")</f>
        <v/>
      </c>
      <c r="C840" s="35"/>
      <c r="D840" s="35"/>
      <c r="E840" s="15"/>
      <c r="F840" s="15"/>
      <c r="G840" s="15"/>
      <c r="H840" s="23"/>
    </row>
    <row r="841" spans="1:8" ht="13.2">
      <c r="A841" s="34"/>
      <c r="B841" s="24" t="str">
        <f>IFERROR(VLOOKUP(A841, Tasks!A$89:E$133,2, FALSE), "")</f>
        <v/>
      </c>
      <c r="C841" s="34"/>
      <c r="D841" s="34"/>
      <c r="E841" s="36"/>
      <c r="F841" s="36"/>
      <c r="G841" s="36"/>
      <c r="H841" s="28"/>
    </row>
    <row r="842" spans="1:8" ht="13.2">
      <c r="A842" s="35"/>
      <c r="B842" s="19" t="str">
        <f>IFERROR(VLOOKUP(A842, Tasks!A$89:E$133,2, FALSE), "")</f>
        <v/>
      </c>
      <c r="C842" s="35"/>
      <c r="D842" s="35"/>
      <c r="E842" s="15"/>
      <c r="F842" s="15"/>
      <c r="G842" s="15"/>
      <c r="H842" s="23"/>
    </row>
    <row r="843" spans="1:8" ht="13.2">
      <c r="A843" s="34"/>
      <c r="B843" s="24" t="str">
        <f>IFERROR(VLOOKUP(A843, Tasks!A$89:E$133,2, FALSE), "")</f>
        <v/>
      </c>
      <c r="C843" s="34"/>
      <c r="D843" s="34"/>
      <c r="E843" s="36"/>
      <c r="F843" s="36"/>
      <c r="G843" s="36"/>
      <c r="H843" s="28"/>
    </row>
    <row r="844" spans="1:8" ht="13.2">
      <c r="A844" s="35"/>
      <c r="B844" s="19" t="str">
        <f>IFERROR(VLOOKUP(A844, Tasks!A$89:E$133,2, FALSE), "")</f>
        <v/>
      </c>
      <c r="C844" s="35"/>
      <c r="D844" s="35"/>
      <c r="E844" s="15"/>
      <c r="F844" s="15"/>
      <c r="G844" s="15"/>
      <c r="H844" s="23"/>
    </row>
    <row r="845" spans="1:8" ht="13.2">
      <c r="A845" s="34"/>
      <c r="B845" s="24" t="str">
        <f>IFERROR(VLOOKUP(A845, Tasks!A$89:E$133,2, FALSE), "")</f>
        <v/>
      </c>
      <c r="C845" s="34"/>
      <c r="D845" s="34"/>
      <c r="E845" s="36"/>
      <c r="F845" s="36"/>
      <c r="G845" s="36"/>
      <c r="H845" s="28"/>
    </row>
    <row r="846" spans="1:8" ht="13.2">
      <c r="A846" s="35"/>
      <c r="B846" s="19" t="str">
        <f>IFERROR(VLOOKUP(A846, Tasks!A$89:E$133,2, FALSE), "")</f>
        <v/>
      </c>
      <c r="C846" s="35"/>
      <c r="D846" s="35"/>
      <c r="E846" s="15"/>
      <c r="F846" s="15"/>
      <c r="G846" s="15"/>
      <c r="H846" s="23"/>
    </row>
    <row r="847" spans="1:8" ht="13.2">
      <c r="A847" s="34"/>
      <c r="B847" s="24" t="str">
        <f>IFERROR(VLOOKUP(A847, Tasks!A$89:E$133,2, FALSE), "")</f>
        <v/>
      </c>
      <c r="C847" s="34"/>
      <c r="D847" s="34"/>
      <c r="E847" s="36"/>
      <c r="F847" s="36"/>
      <c r="G847" s="36"/>
      <c r="H847" s="28"/>
    </row>
    <row r="848" spans="1:8" ht="13.2">
      <c r="A848" s="35"/>
      <c r="B848" s="19" t="str">
        <f>IFERROR(VLOOKUP(A848, Tasks!A$89:E$133,2, FALSE), "")</f>
        <v/>
      </c>
      <c r="C848" s="35"/>
      <c r="D848" s="35"/>
      <c r="E848" s="15"/>
      <c r="F848" s="15"/>
      <c r="G848" s="15"/>
      <c r="H848" s="23"/>
    </row>
    <row r="849" spans="1:8" ht="13.2">
      <c r="A849" s="34"/>
      <c r="B849" s="24" t="str">
        <f>IFERROR(VLOOKUP(A849, Tasks!A$89:E$133,2, FALSE), "")</f>
        <v/>
      </c>
      <c r="C849" s="34"/>
      <c r="D849" s="34"/>
      <c r="E849" s="36"/>
      <c r="F849" s="36"/>
      <c r="G849" s="36"/>
      <c r="H849" s="28"/>
    </row>
    <row r="850" spans="1:8" ht="13.2">
      <c r="A850" s="35"/>
      <c r="B850" s="19" t="str">
        <f>IFERROR(VLOOKUP(A850, Tasks!A$89:E$133,2, FALSE), "")</f>
        <v/>
      </c>
      <c r="C850" s="35"/>
      <c r="D850" s="35"/>
      <c r="E850" s="15"/>
      <c r="F850" s="15"/>
      <c r="G850" s="15"/>
      <c r="H850" s="23"/>
    </row>
    <row r="851" spans="1:8" ht="13.2">
      <c r="A851" s="34"/>
      <c r="B851" s="24" t="str">
        <f>IFERROR(VLOOKUP(A851, Tasks!A$89:E$133,2, FALSE), "")</f>
        <v/>
      </c>
      <c r="C851" s="34"/>
      <c r="D851" s="34"/>
      <c r="E851" s="36"/>
      <c r="F851" s="36"/>
      <c r="G851" s="36"/>
      <c r="H851" s="28"/>
    </row>
    <row r="852" spans="1:8" ht="13.2">
      <c r="A852" s="35"/>
      <c r="B852" s="19" t="str">
        <f>IFERROR(VLOOKUP(A852, Tasks!A$89:E$133,2, FALSE), "")</f>
        <v/>
      </c>
      <c r="C852" s="35"/>
      <c r="D852" s="35"/>
      <c r="E852" s="15"/>
      <c r="F852" s="15"/>
      <c r="G852" s="15"/>
      <c r="H852" s="23"/>
    </row>
    <row r="853" spans="1:8" ht="13.2">
      <c r="A853" s="34"/>
      <c r="B853" s="24" t="str">
        <f>IFERROR(VLOOKUP(A853, Tasks!A$89:E$133,2, FALSE), "")</f>
        <v/>
      </c>
      <c r="C853" s="34"/>
      <c r="D853" s="34"/>
      <c r="E853" s="36"/>
      <c r="F853" s="36"/>
      <c r="G853" s="36"/>
      <c r="H853" s="28"/>
    </row>
    <row r="854" spans="1:8" ht="13.2">
      <c r="A854" s="35"/>
      <c r="B854" s="19" t="str">
        <f>IFERROR(VLOOKUP(A854, Tasks!A$89:E$133,2, FALSE), "")</f>
        <v/>
      </c>
      <c r="C854" s="35"/>
      <c r="D854" s="35"/>
      <c r="E854" s="15"/>
      <c r="F854" s="15"/>
      <c r="G854" s="15"/>
      <c r="H854" s="23"/>
    </row>
    <row r="855" spans="1:8" ht="13.2">
      <c r="A855" s="34"/>
      <c r="B855" s="24" t="str">
        <f>IFERROR(VLOOKUP(A855, Tasks!A$89:E$133,2, FALSE), "")</f>
        <v/>
      </c>
      <c r="C855" s="34"/>
      <c r="D855" s="34"/>
      <c r="E855" s="36"/>
      <c r="F855" s="36"/>
      <c r="G855" s="36"/>
      <c r="H855" s="28"/>
    </row>
    <row r="856" spans="1:8" ht="13.2">
      <c r="A856" s="35"/>
      <c r="B856" s="19" t="str">
        <f>IFERROR(VLOOKUP(A856, Tasks!A$89:E$133,2, FALSE), "")</f>
        <v/>
      </c>
      <c r="C856" s="35"/>
      <c r="D856" s="35"/>
      <c r="E856" s="15"/>
      <c r="F856" s="15"/>
      <c r="G856" s="15"/>
      <c r="H856" s="23"/>
    </row>
    <row r="857" spans="1:8" ht="13.2">
      <c r="A857" s="34"/>
      <c r="B857" s="24" t="str">
        <f>IFERROR(VLOOKUP(A857, Tasks!A$89:E$133,2, FALSE), "")</f>
        <v/>
      </c>
      <c r="C857" s="34"/>
      <c r="D857" s="34"/>
      <c r="E857" s="36"/>
      <c r="F857" s="36"/>
      <c r="G857" s="36"/>
      <c r="H857" s="28"/>
    </row>
    <row r="858" spans="1:8" ht="13.2">
      <c r="A858" s="35"/>
      <c r="B858" s="19" t="str">
        <f>IFERROR(VLOOKUP(A858, Tasks!A$89:E$133,2, FALSE), "")</f>
        <v/>
      </c>
      <c r="C858" s="35"/>
      <c r="D858" s="35"/>
      <c r="E858" s="15"/>
      <c r="F858" s="15"/>
      <c r="G858" s="15"/>
      <c r="H858" s="23"/>
    </row>
    <row r="859" spans="1:8" ht="13.2">
      <c r="A859" s="34"/>
      <c r="B859" s="24" t="str">
        <f>IFERROR(VLOOKUP(A859, Tasks!A$89:E$133,2, FALSE), "")</f>
        <v/>
      </c>
      <c r="C859" s="34"/>
      <c r="D859" s="34"/>
      <c r="E859" s="36"/>
      <c r="F859" s="36"/>
      <c r="G859" s="36"/>
      <c r="H859" s="28"/>
    </row>
    <row r="860" spans="1:8" ht="13.2">
      <c r="A860" s="35"/>
      <c r="B860" s="19" t="str">
        <f>IFERROR(VLOOKUP(A860, Tasks!A$89:E$133,2, FALSE), "")</f>
        <v/>
      </c>
      <c r="C860" s="35"/>
      <c r="D860" s="35"/>
      <c r="E860" s="15"/>
      <c r="F860" s="15"/>
      <c r="G860" s="15"/>
      <c r="H860" s="23"/>
    </row>
    <row r="861" spans="1:8" ht="13.2">
      <c r="A861" s="34"/>
      <c r="B861" s="24" t="str">
        <f>IFERROR(VLOOKUP(A861, Tasks!A$89:E$133,2, FALSE), "")</f>
        <v/>
      </c>
      <c r="C861" s="34"/>
      <c r="D861" s="34"/>
      <c r="E861" s="36"/>
      <c r="F861" s="36"/>
      <c r="G861" s="36"/>
      <c r="H861" s="28"/>
    </row>
    <row r="862" spans="1:8" ht="13.2">
      <c r="A862" s="35"/>
      <c r="B862" s="19" t="str">
        <f>IFERROR(VLOOKUP(A862, Tasks!A$89:E$133,2, FALSE), "")</f>
        <v/>
      </c>
      <c r="C862" s="35"/>
      <c r="D862" s="35"/>
      <c r="E862" s="15"/>
      <c r="F862" s="15"/>
      <c r="G862" s="15"/>
      <c r="H862" s="23"/>
    </row>
    <row r="863" spans="1:8" ht="13.2">
      <c r="A863" s="34"/>
      <c r="B863" s="24" t="str">
        <f>IFERROR(VLOOKUP(A863, Tasks!A$89:E$133,2, FALSE), "")</f>
        <v/>
      </c>
      <c r="C863" s="34"/>
      <c r="D863" s="34"/>
      <c r="E863" s="36"/>
      <c r="F863" s="36"/>
      <c r="G863" s="36"/>
      <c r="H863" s="28"/>
    </row>
    <row r="864" spans="1:8" ht="13.2">
      <c r="A864" s="35"/>
      <c r="B864" s="19" t="str">
        <f>IFERROR(VLOOKUP(A864, Tasks!A$89:E$133,2, FALSE), "")</f>
        <v/>
      </c>
      <c r="C864" s="35"/>
      <c r="D864" s="35"/>
      <c r="E864" s="15"/>
      <c r="F864" s="15"/>
      <c r="G864" s="15"/>
      <c r="H864" s="23"/>
    </row>
    <row r="865" spans="1:8" ht="13.2">
      <c r="A865" s="34"/>
      <c r="B865" s="24" t="str">
        <f>IFERROR(VLOOKUP(A865, Tasks!A$89:E$133,2, FALSE), "")</f>
        <v/>
      </c>
      <c r="C865" s="34"/>
      <c r="D865" s="34"/>
      <c r="E865" s="36"/>
      <c r="F865" s="36"/>
      <c r="G865" s="36"/>
      <c r="H865" s="28"/>
    </row>
    <row r="866" spans="1:8" ht="13.2">
      <c r="A866" s="35"/>
      <c r="B866" s="19" t="str">
        <f>IFERROR(VLOOKUP(A866, Tasks!A$89:E$133,2, FALSE), "")</f>
        <v/>
      </c>
      <c r="C866" s="35"/>
      <c r="D866" s="35"/>
      <c r="E866" s="15"/>
      <c r="F866" s="15"/>
      <c r="G866" s="15"/>
      <c r="H866" s="23"/>
    </row>
    <row r="867" spans="1:8" ht="13.2">
      <c r="A867" s="34"/>
      <c r="B867" s="24" t="str">
        <f>IFERROR(VLOOKUP(A867, Tasks!A$89:E$133,2, FALSE), "")</f>
        <v/>
      </c>
      <c r="C867" s="34"/>
      <c r="D867" s="34"/>
      <c r="E867" s="36"/>
      <c r="F867" s="36"/>
      <c r="G867" s="36"/>
      <c r="H867" s="28"/>
    </row>
    <row r="868" spans="1:8" ht="13.2">
      <c r="A868" s="35"/>
      <c r="B868" s="19" t="str">
        <f>IFERROR(VLOOKUP(A868, Tasks!A$89:E$133,2, FALSE), "")</f>
        <v/>
      </c>
      <c r="C868" s="35"/>
      <c r="D868" s="35"/>
      <c r="E868" s="15"/>
      <c r="F868" s="15"/>
      <c r="G868" s="15"/>
      <c r="H868" s="23"/>
    </row>
    <row r="869" spans="1:8" ht="13.2">
      <c r="A869" s="34"/>
      <c r="B869" s="24" t="str">
        <f>IFERROR(VLOOKUP(A869, Tasks!A$89:E$133,2, FALSE), "")</f>
        <v/>
      </c>
      <c r="C869" s="34"/>
      <c r="D869" s="34"/>
      <c r="E869" s="36"/>
      <c r="F869" s="36"/>
      <c r="G869" s="36"/>
      <c r="H869" s="28"/>
    </row>
    <row r="870" spans="1:8" ht="13.2">
      <c r="A870" s="35"/>
      <c r="B870" s="19" t="str">
        <f>IFERROR(VLOOKUP(A870, Tasks!A$89:E$133,2, FALSE), "")</f>
        <v/>
      </c>
      <c r="C870" s="35"/>
      <c r="D870" s="35"/>
      <c r="E870" s="15"/>
      <c r="F870" s="15"/>
      <c r="G870" s="15"/>
      <c r="H870" s="23"/>
    </row>
    <row r="871" spans="1:8" ht="13.2">
      <c r="A871" s="34"/>
      <c r="B871" s="24" t="str">
        <f>IFERROR(VLOOKUP(A871, Tasks!A$89:E$133,2, FALSE), "")</f>
        <v/>
      </c>
      <c r="C871" s="34"/>
      <c r="D871" s="34"/>
      <c r="E871" s="36"/>
      <c r="F871" s="36"/>
      <c r="G871" s="36"/>
      <c r="H871" s="28"/>
    </row>
    <row r="872" spans="1:8" ht="13.2">
      <c r="A872" s="35"/>
      <c r="B872" s="19" t="str">
        <f>IFERROR(VLOOKUP(A872, Tasks!A$89:E$133,2, FALSE), "")</f>
        <v/>
      </c>
      <c r="C872" s="35"/>
      <c r="D872" s="35"/>
      <c r="E872" s="15"/>
      <c r="F872" s="15"/>
      <c r="G872" s="15"/>
      <c r="H872" s="23"/>
    </row>
    <row r="873" spans="1:8" ht="13.2">
      <c r="A873" s="34"/>
      <c r="B873" s="24" t="str">
        <f>IFERROR(VLOOKUP(A873, Tasks!A$89:E$133,2, FALSE), "")</f>
        <v/>
      </c>
      <c r="C873" s="34"/>
      <c r="D873" s="34"/>
      <c r="E873" s="36"/>
      <c r="F873" s="36"/>
      <c r="G873" s="36"/>
      <c r="H873" s="28"/>
    </row>
    <row r="874" spans="1:8" ht="13.2">
      <c r="A874" s="35"/>
      <c r="B874" s="19" t="str">
        <f>IFERROR(VLOOKUP(A874, Tasks!A$89:E$133,2, FALSE), "")</f>
        <v/>
      </c>
      <c r="C874" s="35"/>
      <c r="D874" s="35"/>
      <c r="E874" s="15"/>
      <c r="F874" s="15"/>
      <c r="G874" s="15"/>
      <c r="H874" s="23"/>
    </row>
    <row r="875" spans="1:8" ht="13.2">
      <c r="A875" s="34"/>
      <c r="B875" s="24" t="str">
        <f>IFERROR(VLOOKUP(A875, Tasks!A$89:E$133,2, FALSE), "")</f>
        <v/>
      </c>
      <c r="C875" s="34"/>
      <c r="D875" s="34"/>
      <c r="E875" s="36"/>
      <c r="F875" s="36"/>
      <c r="G875" s="36"/>
      <c r="H875" s="28"/>
    </row>
    <row r="876" spans="1:8" ht="13.2">
      <c r="A876" s="35"/>
      <c r="B876" s="19" t="str">
        <f>IFERROR(VLOOKUP(A876, Tasks!A$89:E$133,2, FALSE), "")</f>
        <v/>
      </c>
      <c r="C876" s="35"/>
      <c r="D876" s="35"/>
      <c r="E876" s="15"/>
      <c r="F876" s="15"/>
      <c r="G876" s="15"/>
      <c r="H876" s="23"/>
    </row>
    <row r="877" spans="1:8" ht="13.2">
      <c r="A877" s="34"/>
      <c r="B877" s="24" t="str">
        <f>IFERROR(VLOOKUP(A877, Tasks!A$89:E$133,2, FALSE), "")</f>
        <v/>
      </c>
      <c r="C877" s="34"/>
      <c r="D877" s="34"/>
      <c r="E877" s="36"/>
      <c r="F877" s="36"/>
      <c r="G877" s="36"/>
      <c r="H877" s="28"/>
    </row>
    <row r="878" spans="1:8" ht="13.2">
      <c r="A878" s="35"/>
      <c r="B878" s="19" t="str">
        <f>IFERROR(VLOOKUP(A878, Tasks!A$89:E$133,2, FALSE), "")</f>
        <v/>
      </c>
      <c r="C878" s="35"/>
      <c r="D878" s="35"/>
      <c r="E878" s="15"/>
      <c r="F878" s="15"/>
      <c r="G878" s="15"/>
      <c r="H878" s="23"/>
    </row>
    <row r="879" spans="1:8" ht="13.2">
      <c r="A879" s="34"/>
      <c r="B879" s="24" t="str">
        <f>IFERROR(VLOOKUP(A879, Tasks!A$89:E$133,2, FALSE), "")</f>
        <v/>
      </c>
      <c r="C879" s="34"/>
      <c r="D879" s="34"/>
      <c r="E879" s="36"/>
      <c r="F879" s="36"/>
      <c r="G879" s="36"/>
      <c r="H879" s="28"/>
    </row>
    <row r="880" spans="1:8" ht="13.2">
      <c r="A880" s="35"/>
      <c r="B880" s="19" t="str">
        <f>IFERROR(VLOOKUP(A880, Tasks!A$89:E$133,2, FALSE), "")</f>
        <v/>
      </c>
      <c r="C880" s="35"/>
      <c r="D880" s="35"/>
      <c r="E880" s="15"/>
      <c r="F880" s="15"/>
      <c r="G880" s="15"/>
      <c r="H880" s="23"/>
    </row>
    <row r="881" spans="1:8" ht="13.2">
      <c r="A881" s="34"/>
      <c r="B881" s="24" t="str">
        <f>IFERROR(VLOOKUP(A881, Tasks!A$89:E$133,2, FALSE), "")</f>
        <v/>
      </c>
      <c r="C881" s="34"/>
      <c r="D881" s="34"/>
      <c r="E881" s="36"/>
      <c r="F881" s="36"/>
      <c r="G881" s="36"/>
      <c r="H881" s="28"/>
    </row>
    <row r="882" spans="1:8" ht="13.2">
      <c r="A882" s="35"/>
      <c r="B882" s="19" t="str">
        <f>IFERROR(VLOOKUP(A882, Tasks!A$89:E$133,2, FALSE), "")</f>
        <v/>
      </c>
      <c r="C882" s="35"/>
      <c r="D882" s="35"/>
      <c r="E882" s="15"/>
      <c r="F882" s="15"/>
      <c r="G882" s="15"/>
      <c r="H882" s="23"/>
    </row>
    <row r="883" spans="1:8" ht="13.2">
      <c r="A883" s="34"/>
      <c r="B883" s="24" t="str">
        <f>IFERROR(VLOOKUP(A883, Tasks!A$89:E$133,2, FALSE), "")</f>
        <v/>
      </c>
      <c r="C883" s="34"/>
      <c r="D883" s="34"/>
      <c r="E883" s="36"/>
      <c r="F883" s="36"/>
      <c r="G883" s="36"/>
      <c r="H883" s="28"/>
    </row>
    <row r="884" spans="1:8" ht="13.2">
      <c r="A884" s="35"/>
      <c r="B884" s="19" t="str">
        <f>IFERROR(VLOOKUP(A884, Tasks!A$89:E$133,2, FALSE), "")</f>
        <v/>
      </c>
      <c r="C884" s="35"/>
      <c r="D884" s="35"/>
      <c r="E884" s="15"/>
      <c r="F884" s="15"/>
      <c r="G884" s="15"/>
      <c r="H884" s="23"/>
    </row>
    <row r="885" spans="1:8" ht="13.2">
      <c r="A885" s="34"/>
      <c r="B885" s="24" t="str">
        <f>IFERROR(VLOOKUP(A885, Tasks!A$89:E$133,2, FALSE), "")</f>
        <v/>
      </c>
      <c r="C885" s="34"/>
      <c r="D885" s="34"/>
      <c r="E885" s="36"/>
      <c r="F885" s="36"/>
      <c r="G885" s="36"/>
      <c r="H885" s="28"/>
    </row>
    <row r="886" spans="1:8" ht="13.2">
      <c r="A886" s="35"/>
      <c r="B886" s="19" t="str">
        <f>IFERROR(VLOOKUP(A886, Tasks!A$89:E$133,2, FALSE), "")</f>
        <v/>
      </c>
      <c r="C886" s="35"/>
      <c r="D886" s="35"/>
      <c r="E886" s="15"/>
      <c r="F886" s="15"/>
      <c r="G886" s="15"/>
      <c r="H886" s="23"/>
    </row>
    <row r="887" spans="1:8" ht="13.2">
      <c r="A887" s="34"/>
      <c r="B887" s="24" t="str">
        <f>IFERROR(VLOOKUP(A887, Tasks!A$89:E$133,2, FALSE), "")</f>
        <v/>
      </c>
      <c r="C887" s="34"/>
      <c r="D887" s="34"/>
      <c r="E887" s="36"/>
      <c r="F887" s="36"/>
      <c r="G887" s="36"/>
      <c r="H887" s="28"/>
    </row>
    <row r="888" spans="1:8" ht="13.2">
      <c r="A888" s="35"/>
      <c r="B888" s="19" t="str">
        <f>IFERROR(VLOOKUP(A888, Tasks!A$89:E$133,2, FALSE), "")</f>
        <v/>
      </c>
      <c r="C888" s="35"/>
      <c r="D888" s="35"/>
      <c r="E888" s="15"/>
      <c r="F888" s="15"/>
      <c r="G888" s="15"/>
      <c r="H888" s="23"/>
    </row>
    <row r="889" spans="1:8" ht="13.2">
      <c r="A889" s="34"/>
      <c r="B889" s="24" t="str">
        <f>IFERROR(VLOOKUP(A889, Tasks!A$89:E$133,2, FALSE), "")</f>
        <v/>
      </c>
      <c r="C889" s="34"/>
      <c r="D889" s="34"/>
      <c r="E889" s="36"/>
      <c r="F889" s="36"/>
      <c r="G889" s="36"/>
      <c r="H889" s="28"/>
    </row>
    <row r="890" spans="1:8" ht="13.2">
      <c r="A890" s="35"/>
      <c r="B890" s="19" t="str">
        <f>IFERROR(VLOOKUP(A890, Tasks!A$89:E$133,2, FALSE), "")</f>
        <v/>
      </c>
      <c r="C890" s="35"/>
      <c r="D890" s="35"/>
      <c r="E890" s="15"/>
      <c r="F890" s="15"/>
      <c r="G890" s="15"/>
      <c r="H890" s="23"/>
    </row>
    <row r="891" spans="1:8" ht="13.2">
      <c r="A891" s="34"/>
      <c r="B891" s="24" t="str">
        <f>IFERROR(VLOOKUP(A891, Tasks!A$89:E$133,2, FALSE), "")</f>
        <v/>
      </c>
      <c r="C891" s="34"/>
      <c r="D891" s="34"/>
      <c r="E891" s="36"/>
      <c r="F891" s="36"/>
      <c r="G891" s="36"/>
      <c r="H891" s="28"/>
    </row>
    <row r="892" spans="1:8" ht="13.2">
      <c r="A892" s="35"/>
      <c r="B892" s="19" t="str">
        <f>IFERROR(VLOOKUP(A892, Tasks!A$89:E$133,2, FALSE), "")</f>
        <v/>
      </c>
      <c r="C892" s="35"/>
      <c r="D892" s="35"/>
      <c r="E892" s="15"/>
      <c r="F892" s="15"/>
      <c r="G892" s="15"/>
      <c r="H892" s="23"/>
    </row>
    <row r="893" spans="1:8" ht="13.2">
      <c r="A893" s="34"/>
      <c r="B893" s="24" t="str">
        <f>IFERROR(VLOOKUP(A893, Tasks!A$89:E$133,2, FALSE), "")</f>
        <v/>
      </c>
      <c r="C893" s="34"/>
      <c r="D893" s="34"/>
      <c r="E893" s="36"/>
      <c r="F893" s="36"/>
      <c r="G893" s="36"/>
      <c r="H893" s="28"/>
    </row>
    <row r="894" spans="1:8" ht="13.2">
      <c r="A894" s="35"/>
      <c r="B894" s="19" t="str">
        <f>IFERROR(VLOOKUP(A894, Tasks!A$89:E$133,2, FALSE), "")</f>
        <v/>
      </c>
      <c r="C894" s="35"/>
      <c r="D894" s="35"/>
      <c r="E894" s="15"/>
      <c r="F894" s="15"/>
      <c r="G894" s="15"/>
      <c r="H894" s="23"/>
    </row>
    <row r="895" spans="1:8" ht="13.2">
      <c r="A895" s="34"/>
      <c r="B895" s="24" t="str">
        <f>IFERROR(VLOOKUP(A895, Tasks!A$89:E$133,2, FALSE), "")</f>
        <v/>
      </c>
      <c r="C895" s="34"/>
      <c r="D895" s="34"/>
      <c r="E895" s="36"/>
      <c r="F895" s="36"/>
      <c r="G895" s="36"/>
      <c r="H895" s="28"/>
    </row>
    <row r="896" spans="1:8" ht="13.2">
      <c r="A896" s="35"/>
      <c r="B896" s="19" t="str">
        <f>IFERROR(VLOOKUP(A896, Tasks!A$89:E$133,2, FALSE), "")</f>
        <v/>
      </c>
      <c r="C896" s="35"/>
      <c r="D896" s="35"/>
      <c r="E896" s="15"/>
      <c r="F896" s="15"/>
      <c r="G896" s="15"/>
      <c r="H896" s="23"/>
    </row>
    <row r="897" spans="1:8" ht="13.2">
      <c r="A897" s="34"/>
      <c r="B897" s="24" t="str">
        <f>IFERROR(VLOOKUP(A897, Tasks!A$89:E$133,2, FALSE), "")</f>
        <v/>
      </c>
      <c r="C897" s="34"/>
      <c r="D897" s="34"/>
      <c r="E897" s="36"/>
      <c r="F897" s="36"/>
      <c r="G897" s="36"/>
      <c r="H897" s="28"/>
    </row>
    <row r="898" spans="1:8" ht="13.2">
      <c r="A898" s="35"/>
      <c r="B898" s="19" t="str">
        <f>IFERROR(VLOOKUP(A898, Tasks!A$89:E$133,2, FALSE), "")</f>
        <v/>
      </c>
      <c r="C898" s="35"/>
      <c r="D898" s="35"/>
      <c r="E898" s="15"/>
      <c r="F898" s="15"/>
      <c r="G898" s="15"/>
      <c r="H898" s="23"/>
    </row>
    <row r="899" spans="1:8" ht="13.2">
      <c r="A899" s="34"/>
      <c r="B899" s="24" t="str">
        <f>IFERROR(VLOOKUP(A899, Tasks!A$89:E$133,2, FALSE), "")</f>
        <v/>
      </c>
      <c r="C899" s="34"/>
      <c r="D899" s="34"/>
      <c r="E899" s="36"/>
      <c r="F899" s="36"/>
      <c r="G899" s="36"/>
      <c r="H899" s="28"/>
    </row>
    <row r="900" spans="1:8" ht="13.2">
      <c r="A900" s="35"/>
      <c r="B900" s="19" t="str">
        <f>IFERROR(VLOOKUP(A900, Tasks!A$89:E$133,2, FALSE), "")</f>
        <v/>
      </c>
      <c r="C900" s="35"/>
      <c r="D900" s="35"/>
      <c r="E900" s="15"/>
      <c r="F900" s="15"/>
      <c r="G900" s="15"/>
      <c r="H900" s="23"/>
    </row>
    <row r="901" spans="1:8" ht="13.2">
      <c r="A901" s="34"/>
      <c r="B901" s="24" t="str">
        <f>IFERROR(VLOOKUP(A901, Tasks!A$89:E$133,2, FALSE), "")</f>
        <v/>
      </c>
      <c r="C901" s="34"/>
      <c r="D901" s="34"/>
      <c r="E901" s="36"/>
      <c r="F901" s="36"/>
      <c r="G901" s="36"/>
      <c r="H901" s="28"/>
    </row>
    <row r="902" spans="1:8" ht="13.2">
      <c r="A902" s="35"/>
      <c r="B902" s="19" t="str">
        <f>IFERROR(VLOOKUP(A902, Tasks!A$89:E$133,2, FALSE), "")</f>
        <v/>
      </c>
      <c r="C902" s="35"/>
      <c r="D902" s="35"/>
      <c r="E902" s="15"/>
      <c r="F902" s="15"/>
      <c r="G902" s="15"/>
      <c r="H902" s="23"/>
    </row>
    <row r="903" spans="1:8" ht="13.2">
      <c r="A903" s="34"/>
      <c r="B903" s="24" t="str">
        <f>IFERROR(VLOOKUP(A903, Tasks!A$89:E$133,2, FALSE), "")</f>
        <v/>
      </c>
      <c r="C903" s="34"/>
      <c r="D903" s="34"/>
      <c r="E903" s="36"/>
      <c r="F903" s="36"/>
      <c r="G903" s="36"/>
      <c r="H903" s="28"/>
    </row>
    <row r="904" spans="1:8" ht="13.2">
      <c r="A904" s="35"/>
      <c r="B904" s="19" t="str">
        <f>IFERROR(VLOOKUP(A904, Tasks!A$89:E$133,2, FALSE), "")</f>
        <v/>
      </c>
      <c r="C904" s="35"/>
      <c r="D904" s="35"/>
      <c r="E904" s="15"/>
      <c r="F904" s="15"/>
      <c r="G904" s="15"/>
      <c r="H904" s="23"/>
    </row>
    <row r="905" spans="1:8" ht="13.2">
      <c r="A905" s="34"/>
      <c r="B905" s="24" t="str">
        <f>IFERROR(VLOOKUP(A905, Tasks!A$89:E$133,2, FALSE), "")</f>
        <v/>
      </c>
      <c r="C905" s="34"/>
      <c r="D905" s="34"/>
      <c r="E905" s="36"/>
      <c r="F905" s="36"/>
      <c r="G905" s="36"/>
      <c r="H905" s="28"/>
    </row>
    <row r="906" spans="1:8" ht="13.2">
      <c r="A906" s="35"/>
      <c r="B906" s="19" t="str">
        <f>IFERROR(VLOOKUP(A906, Tasks!A$89:E$133,2, FALSE), "")</f>
        <v/>
      </c>
      <c r="C906" s="35"/>
      <c r="D906" s="35"/>
      <c r="E906" s="15"/>
      <c r="F906" s="15"/>
      <c r="G906" s="15"/>
      <c r="H906" s="23"/>
    </row>
    <row r="907" spans="1:8" ht="13.2">
      <c r="A907" s="34"/>
      <c r="B907" s="24" t="str">
        <f>IFERROR(VLOOKUP(A907, Tasks!A$89:E$133,2, FALSE), "")</f>
        <v/>
      </c>
      <c r="C907" s="34"/>
      <c r="D907" s="34"/>
      <c r="E907" s="36"/>
      <c r="F907" s="36"/>
      <c r="G907" s="36"/>
      <c r="H907" s="28"/>
    </row>
    <row r="908" spans="1:8" ht="13.2">
      <c r="A908" s="35"/>
      <c r="B908" s="19" t="str">
        <f>IFERROR(VLOOKUP(A908, Tasks!A$89:E$133,2, FALSE), "")</f>
        <v/>
      </c>
      <c r="C908" s="35"/>
      <c r="D908" s="35"/>
      <c r="E908" s="15"/>
      <c r="F908" s="15"/>
      <c r="G908" s="15"/>
      <c r="H908" s="23"/>
    </row>
    <row r="909" spans="1:8" ht="13.2">
      <c r="A909" s="34"/>
      <c r="B909" s="24" t="str">
        <f>IFERROR(VLOOKUP(A909, Tasks!A$89:E$133,2, FALSE), "")</f>
        <v/>
      </c>
      <c r="C909" s="34"/>
      <c r="D909" s="34"/>
      <c r="E909" s="36"/>
      <c r="F909" s="36"/>
      <c r="G909" s="36"/>
      <c r="H909" s="28"/>
    </row>
    <row r="910" spans="1:8" ht="13.2">
      <c r="A910" s="35"/>
      <c r="B910" s="19" t="str">
        <f>IFERROR(VLOOKUP(A910, Tasks!A$89:E$133,2, FALSE), "")</f>
        <v/>
      </c>
      <c r="C910" s="35"/>
      <c r="D910" s="35"/>
      <c r="E910" s="15"/>
      <c r="F910" s="15"/>
      <c r="G910" s="15"/>
      <c r="H910" s="23"/>
    </row>
    <row r="911" spans="1:8" ht="13.2">
      <c r="A911" s="34"/>
      <c r="B911" s="24" t="str">
        <f>IFERROR(VLOOKUP(A911, Tasks!A$89:E$133,2, FALSE), "")</f>
        <v/>
      </c>
      <c r="C911" s="34"/>
      <c r="D911" s="34"/>
      <c r="E911" s="36"/>
      <c r="F911" s="36"/>
      <c r="G911" s="36"/>
      <c r="H911" s="28"/>
    </row>
    <row r="912" spans="1:8" ht="13.2">
      <c r="A912" s="35"/>
      <c r="B912" s="19" t="str">
        <f>IFERROR(VLOOKUP(A912, Tasks!A$89:E$133,2, FALSE), "")</f>
        <v/>
      </c>
      <c r="C912" s="35"/>
      <c r="D912" s="35"/>
      <c r="E912" s="15"/>
      <c r="F912" s="15"/>
      <c r="G912" s="15"/>
      <c r="H912" s="23"/>
    </row>
    <row r="913" spans="1:8" ht="13.2">
      <c r="A913" s="34"/>
      <c r="B913" s="24" t="str">
        <f>IFERROR(VLOOKUP(A913, Tasks!A$89:E$133,2, FALSE), "")</f>
        <v/>
      </c>
      <c r="C913" s="34"/>
      <c r="D913" s="34"/>
      <c r="E913" s="36"/>
      <c r="F913" s="36"/>
      <c r="G913" s="36"/>
      <c r="H913" s="28"/>
    </row>
    <row r="914" spans="1:8" ht="13.2">
      <c r="A914" s="35"/>
      <c r="B914" s="19" t="str">
        <f>IFERROR(VLOOKUP(A914, Tasks!A$89:E$133,2, FALSE), "")</f>
        <v/>
      </c>
      <c r="C914" s="35"/>
      <c r="D914" s="35"/>
      <c r="E914" s="15"/>
      <c r="F914" s="15"/>
      <c r="G914" s="15"/>
      <c r="H914" s="23"/>
    </row>
    <row r="915" spans="1:8" ht="13.2">
      <c r="A915" s="34"/>
      <c r="B915" s="24" t="str">
        <f>IFERROR(VLOOKUP(A915, Tasks!A$89:E$133,2, FALSE), "")</f>
        <v/>
      </c>
      <c r="C915" s="34"/>
      <c r="D915" s="34"/>
      <c r="E915" s="36"/>
      <c r="F915" s="36"/>
      <c r="G915" s="36"/>
      <c r="H915" s="28"/>
    </row>
    <row r="916" spans="1:8" ht="13.2">
      <c r="A916" s="35"/>
      <c r="B916" s="19" t="str">
        <f>IFERROR(VLOOKUP(A916, Tasks!A$89:E$133,2, FALSE), "")</f>
        <v/>
      </c>
      <c r="C916" s="35"/>
      <c r="D916" s="35"/>
      <c r="E916" s="15"/>
      <c r="F916" s="15"/>
      <c r="G916" s="15"/>
      <c r="H916" s="23"/>
    </row>
    <row r="917" spans="1:8" ht="13.2">
      <c r="A917" s="34"/>
      <c r="B917" s="24" t="str">
        <f>IFERROR(VLOOKUP(A917, Tasks!A$89:E$133,2, FALSE), "")</f>
        <v/>
      </c>
      <c r="C917" s="34"/>
      <c r="D917" s="34"/>
      <c r="E917" s="36"/>
      <c r="F917" s="36"/>
      <c r="G917" s="36"/>
      <c r="H917" s="28"/>
    </row>
    <row r="918" spans="1:8" ht="13.2">
      <c r="A918" s="35"/>
      <c r="B918" s="19" t="str">
        <f>IFERROR(VLOOKUP(A918, Tasks!A$89:E$133,2, FALSE), "")</f>
        <v/>
      </c>
      <c r="C918" s="35"/>
      <c r="D918" s="35"/>
      <c r="E918" s="15"/>
      <c r="F918" s="15"/>
      <c r="G918" s="15"/>
      <c r="H918" s="23"/>
    </row>
    <row r="919" spans="1:8" ht="13.2">
      <c r="A919" s="34"/>
      <c r="B919" s="24" t="str">
        <f>IFERROR(VLOOKUP(A919, Tasks!A$89:E$133,2, FALSE), "")</f>
        <v/>
      </c>
      <c r="C919" s="34"/>
      <c r="D919" s="34"/>
      <c r="E919" s="36"/>
      <c r="F919" s="36"/>
      <c r="G919" s="36"/>
      <c r="H919" s="28"/>
    </row>
    <row r="920" spans="1:8" ht="13.2">
      <c r="A920" s="35"/>
      <c r="B920" s="19" t="str">
        <f>IFERROR(VLOOKUP(A920, Tasks!A$89:E$133,2, FALSE), "")</f>
        <v/>
      </c>
      <c r="C920" s="35"/>
      <c r="D920" s="35"/>
      <c r="E920" s="15"/>
      <c r="F920" s="15"/>
      <c r="G920" s="15"/>
      <c r="H920" s="23"/>
    </row>
    <row r="921" spans="1:8" ht="13.2">
      <c r="A921" s="34"/>
      <c r="B921" s="24" t="str">
        <f>IFERROR(VLOOKUP(A921, Tasks!A$89:E$133,2, FALSE), "")</f>
        <v/>
      </c>
      <c r="C921" s="34"/>
      <c r="D921" s="34"/>
      <c r="E921" s="36"/>
      <c r="F921" s="36"/>
      <c r="G921" s="36"/>
      <c r="H921" s="28"/>
    </row>
    <row r="922" spans="1:8" ht="13.2">
      <c r="A922" s="35"/>
      <c r="B922" s="19" t="str">
        <f>IFERROR(VLOOKUP(A922, Tasks!A$89:E$133,2, FALSE), "")</f>
        <v/>
      </c>
      <c r="C922" s="35"/>
      <c r="D922" s="35"/>
      <c r="E922" s="15"/>
      <c r="F922" s="15"/>
      <c r="G922" s="15"/>
      <c r="H922" s="23"/>
    </row>
    <row r="923" spans="1:8" ht="13.2">
      <c r="A923" s="34"/>
      <c r="B923" s="24" t="str">
        <f>IFERROR(VLOOKUP(A923, Tasks!A$89:E$133,2, FALSE), "")</f>
        <v/>
      </c>
      <c r="C923" s="34"/>
      <c r="D923" s="34"/>
      <c r="E923" s="36"/>
      <c r="F923" s="36"/>
      <c r="G923" s="36"/>
      <c r="H923" s="28"/>
    </row>
    <row r="924" spans="1:8" ht="13.2">
      <c r="A924" s="35"/>
      <c r="B924" s="19" t="str">
        <f>IFERROR(VLOOKUP(A924, Tasks!A$89:E$133,2, FALSE), "")</f>
        <v/>
      </c>
      <c r="C924" s="35"/>
      <c r="D924" s="35"/>
      <c r="E924" s="15"/>
      <c r="F924" s="15"/>
      <c r="G924" s="15"/>
      <c r="H924" s="23"/>
    </row>
    <row r="925" spans="1:8" ht="13.2">
      <c r="A925" s="34"/>
      <c r="B925" s="24" t="str">
        <f>IFERROR(VLOOKUP(A925, Tasks!A$89:E$133,2, FALSE), "")</f>
        <v/>
      </c>
      <c r="C925" s="34"/>
      <c r="D925" s="34"/>
      <c r="E925" s="36"/>
      <c r="F925" s="36"/>
      <c r="G925" s="36"/>
      <c r="H925" s="28"/>
    </row>
    <row r="926" spans="1:8" ht="13.2">
      <c r="A926" s="35"/>
      <c r="B926" s="19" t="str">
        <f>IFERROR(VLOOKUP(A926, Tasks!A$89:E$133,2, FALSE), "")</f>
        <v/>
      </c>
      <c r="C926" s="35"/>
      <c r="D926" s="35"/>
      <c r="E926" s="15"/>
      <c r="F926" s="15"/>
      <c r="G926" s="15"/>
      <c r="H926" s="23"/>
    </row>
    <row r="927" spans="1:8" ht="13.2">
      <c r="A927" s="34"/>
      <c r="B927" s="24" t="str">
        <f>IFERROR(VLOOKUP(A927, Tasks!A$89:E$133,2, FALSE), "")</f>
        <v/>
      </c>
      <c r="C927" s="34"/>
      <c r="D927" s="34"/>
      <c r="E927" s="36"/>
      <c r="F927" s="36"/>
      <c r="G927" s="36"/>
      <c r="H927" s="28"/>
    </row>
    <row r="928" spans="1:8" ht="13.2">
      <c r="A928" s="35"/>
      <c r="B928" s="19" t="str">
        <f>IFERROR(VLOOKUP(A928, Tasks!A$89:E$133,2, FALSE), "")</f>
        <v/>
      </c>
      <c r="C928" s="35"/>
      <c r="D928" s="35"/>
      <c r="E928" s="15"/>
      <c r="F928" s="15"/>
      <c r="G928" s="15"/>
      <c r="H928" s="23"/>
    </row>
    <row r="929" spans="1:8" ht="13.2">
      <c r="A929" s="34"/>
      <c r="B929" s="24" t="str">
        <f>IFERROR(VLOOKUP(A929, Tasks!A$89:E$133,2, FALSE), "")</f>
        <v/>
      </c>
      <c r="C929" s="34"/>
      <c r="D929" s="34"/>
      <c r="E929" s="36"/>
      <c r="F929" s="36"/>
      <c r="G929" s="36"/>
      <c r="H929" s="28"/>
    </row>
    <row r="930" spans="1:8" ht="13.2">
      <c r="A930" s="35"/>
      <c r="B930" s="19" t="str">
        <f>IFERROR(VLOOKUP(A930, Tasks!A$89:E$133,2, FALSE), "")</f>
        <v/>
      </c>
      <c r="C930" s="35"/>
      <c r="D930" s="35"/>
      <c r="E930" s="15"/>
      <c r="F930" s="15"/>
      <c r="G930" s="15"/>
      <c r="H930" s="23"/>
    </row>
    <row r="931" spans="1:8" ht="13.2">
      <c r="A931" s="34"/>
      <c r="B931" s="24" t="str">
        <f>IFERROR(VLOOKUP(A931, Tasks!A$89:E$133,2, FALSE), "")</f>
        <v/>
      </c>
      <c r="C931" s="34"/>
      <c r="D931" s="34"/>
      <c r="E931" s="36"/>
      <c r="F931" s="36"/>
      <c r="G931" s="36"/>
      <c r="H931" s="28"/>
    </row>
    <row r="932" spans="1:8" ht="13.2">
      <c r="A932" s="35"/>
      <c r="B932" s="19" t="str">
        <f>IFERROR(VLOOKUP(A932, Tasks!A$89:E$133,2, FALSE), "")</f>
        <v/>
      </c>
      <c r="C932" s="35"/>
      <c r="D932" s="35"/>
      <c r="E932" s="15"/>
      <c r="F932" s="15"/>
      <c r="G932" s="15"/>
      <c r="H932" s="23"/>
    </row>
    <row r="933" spans="1:8" ht="13.2">
      <c r="A933" s="34"/>
      <c r="B933" s="24" t="str">
        <f>IFERROR(VLOOKUP(A933, Tasks!A$89:E$133,2, FALSE), "")</f>
        <v/>
      </c>
      <c r="C933" s="34"/>
      <c r="D933" s="34"/>
      <c r="E933" s="36"/>
      <c r="F933" s="36"/>
      <c r="G933" s="36"/>
      <c r="H933" s="28"/>
    </row>
    <row r="934" spans="1:8" ht="13.2">
      <c r="A934" s="35"/>
      <c r="B934" s="19" t="str">
        <f>IFERROR(VLOOKUP(A934, Tasks!A$89:E$133,2, FALSE), "")</f>
        <v/>
      </c>
      <c r="C934" s="35"/>
      <c r="D934" s="35"/>
      <c r="E934" s="15"/>
      <c r="F934" s="15"/>
      <c r="G934" s="15"/>
      <c r="H934" s="23"/>
    </row>
    <row r="935" spans="1:8" ht="13.2">
      <c r="A935" s="34"/>
      <c r="B935" s="24" t="str">
        <f>IFERROR(VLOOKUP(A935, Tasks!A$89:E$133,2, FALSE), "")</f>
        <v/>
      </c>
      <c r="C935" s="34"/>
      <c r="D935" s="34"/>
      <c r="E935" s="36"/>
      <c r="F935" s="36"/>
      <c r="G935" s="36"/>
      <c r="H935" s="28"/>
    </row>
    <row r="936" spans="1:8" ht="13.2">
      <c r="A936" s="35"/>
      <c r="B936" s="19" t="str">
        <f>IFERROR(VLOOKUP(A936, Tasks!A$89:E$133,2, FALSE), "")</f>
        <v/>
      </c>
      <c r="C936" s="35"/>
      <c r="D936" s="35"/>
      <c r="E936" s="15"/>
      <c r="F936" s="15"/>
      <c r="G936" s="15"/>
      <c r="H936" s="23"/>
    </row>
    <row r="937" spans="1:8" ht="13.2">
      <c r="A937" s="34"/>
      <c r="B937" s="24" t="str">
        <f>IFERROR(VLOOKUP(A937, Tasks!A$89:E$133,2, FALSE), "")</f>
        <v/>
      </c>
      <c r="C937" s="34"/>
      <c r="D937" s="34"/>
      <c r="E937" s="36"/>
      <c r="F937" s="36"/>
      <c r="G937" s="36"/>
      <c r="H937" s="28"/>
    </row>
    <row r="938" spans="1:8" ht="13.2">
      <c r="A938" s="35"/>
      <c r="B938" s="19" t="str">
        <f>IFERROR(VLOOKUP(A938, Tasks!A$89:E$133,2, FALSE), "")</f>
        <v/>
      </c>
      <c r="C938" s="35"/>
      <c r="D938" s="35"/>
      <c r="E938" s="15"/>
      <c r="F938" s="15"/>
      <c r="G938" s="15"/>
      <c r="H938" s="23"/>
    </row>
    <row r="939" spans="1:8" ht="13.2">
      <c r="A939" s="34"/>
      <c r="B939" s="24" t="str">
        <f>IFERROR(VLOOKUP(A939, Tasks!A$89:E$133,2, FALSE), "")</f>
        <v/>
      </c>
      <c r="C939" s="34"/>
      <c r="D939" s="34"/>
      <c r="E939" s="36"/>
      <c r="F939" s="36"/>
      <c r="G939" s="36"/>
      <c r="H939" s="28"/>
    </row>
    <row r="940" spans="1:8" ht="13.2">
      <c r="A940" s="35"/>
      <c r="B940" s="19" t="str">
        <f>IFERROR(VLOOKUP(A940, Tasks!A$89:E$133,2, FALSE), "")</f>
        <v/>
      </c>
      <c r="C940" s="35"/>
      <c r="D940" s="35"/>
      <c r="E940" s="15"/>
      <c r="F940" s="15"/>
      <c r="G940" s="15"/>
      <c r="H940" s="23"/>
    </row>
    <row r="941" spans="1:8" ht="13.2">
      <c r="A941" s="34"/>
      <c r="B941" s="24" t="str">
        <f>IFERROR(VLOOKUP(A941, Tasks!A$89:E$133,2, FALSE), "")</f>
        <v/>
      </c>
      <c r="C941" s="34"/>
      <c r="D941" s="34"/>
      <c r="E941" s="36"/>
      <c r="F941" s="36"/>
      <c r="G941" s="36"/>
      <c r="H941" s="28"/>
    </row>
    <row r="942" spans="1:8" ht="13.2">
      <c r="A942" s="35"/>
      <c r="B942" s="19" t="str">
        <f>IFERROR(VLOOKUP(A942, Tasks!A$89:E$133,2, FALSE), "")</f>
        <v/>
      </c>
      <c r="C942" s="35"/>
      <c r="D942" s="35"/>
      <c r="E942" s="15"/>
      <c r="F942" s="15"/>
      <c r="G942" s="15"/>
      <c r="H942" s="23"/>
    </row>
    <row r="943" spans="1:8" ht="13.2">
      <c r="A943" s="34"/>
      <c r="B943" s="24" t="str">
        <f>IFERROR(VLOOKUP(A943, Tasks!A$89:E$133,2, FALSE), "")</f>
        <v/>
      </c>
      <c r="C943" s="34"/>
      <c r="D943" s="34"/>
      <c r="E943" s="36"/>
      <c r="F943" s="36"/>
      <c r="G943" s="36"/>
      <c r="H943" s="28"/>
    </row>
    <row r="944" spans="1:8" ht="13.2">
      <c r="A944" s="35"/>
      <c r="B944" s="19" t="str">
        <f>IFERROR(VLOOKUP(A944, Tasks!A$89:E$133,2, FALSE), "")</f>
        <v/>
      </c>
      <c r="C944" s="35"/>
      <c r="D944" s="35"/>
      <c r="E944" s="15"/>
      <c r="F944" s="15"/>
      <c r="G944" s="15"/>
      <c r="H944" s="23"/>
    </row>
    <row r="945" spans="1:8" ht="13.2">
      <c r="A945" s="34"/>
      <c r="B945" s="24" t="str">
        <f>IFERROR(VLOOKUP(A945, Tasks!A$89:E$133,2, FALSE), "")</f>
        <v/>
      </c>
      <c r="C945" s="34"/>
      <c r="D945" s="34"/>
      <c r="E945" s="36"/>
      <c r="F945" s="36"/>
      <c r="G945" s="36"/>
      <c r="H945" s="28"/>
    </row>
    <row r="946" spans="1:8" ht="13.2">
      <c r="A946" s="35"/>
      <c r="B946" s="19" t="str">
        <f>IFERROR(VLOOKUP(A946, Tasks!A$89:E$133,2, FALSE), "")</f>
        <v/>
      </c>
      <c r="C946" s="35"/>
      <c r="D946" s="35"/>
      <c r="E946" s="15"/>
      <c r="F946" s="15"/>
      <c r="G946" s="15"/>
      <c r="H946" s="23"/>
    </row>
    <row r="947" spans="1:8" ht="13.2">
      <c r="A947" s="34"/>
      <c r="B947" s="24" t="str">
        <f>IFERROR(VLOOKUP(A947, Tasks!A$89:E$133,2, FALSE), "")</f>
        <v/>
      </c>
      <c r="C947" s="34"/>
      <c r="D947" s="34"/>
      <c r="E947" s="36"/>
      <c r="F947" s="36"/>
      <c r="G947" s="36"/>
      <c r="H947" s="28"/>
    </row>
    <row r="948" spans="1:8" ht="13.2">
      <c r="A948" s="35"/>
      <c r="B948" s="19" t="str">
        <f>IFERROR(VLOOKUP(A948, Tasks!A$89:E$133,2, FALSE), "")</f>
        <v/>
      </c>
      <c r="C948" s="35"/>
      <c r="D948" s="35"/>
      <c r="E948" s="15"/>
      <c r="F948" s="15"/>
      <c r="G948" s="15"/>
      <c r="H948" s="23"/>
    </row>
    <row r="949" spans="1:8" ht="13.2">
      <c r="A949" s="34"/>
      <c r="B949" s="24" t="str">
        <f>IFERROR(VLOOKUP(A949, Tasks!A$89:E$133,2, FALSE), "")</f>
        <v/>
      </c>
      <c r="C949" s="34"/>
      <c r="D949" s="34"/>
      <c r="E949" s="36"/>
      <c r="F949" s="36"/>
      <c r="G949" s="36"/>
      <c r="H949" s="28"/>
    </row>
    <row r="950" spans="1:8" ht="13.2">
      <c r="A950" s="35"/>
      <c r="B950" s="19" t="str">
        <f>IFERROR(VLOOKUP(A950, Tasks!A$89:E$133,2, FALSE), "")</f>
        <v/>
      </c>
      <c r="C950" s="35"/>
      <c r="D950" s="35"/>
      <c r="E950" s="15"/>
      <c r="F950" s="15"/>
      <c r="G950" s="15"/>
      <c r="H950" s="23"/>
    </row>
    <row r="951" spans="1:8" ht="13.2">
      <c r="A951" s="34"/>
      <c r="B951" s="24" t="str">
        <f>IFERROR(VLOOKUP(A951, Tasks!A$89:E$133,2, FALSE), "")</f>
        <v/>
      </c>
      <c r="C951" s="34"/>
      <c r="D951" s="34"/>
      <c r="E951" s="36"/>
      <c r="F951" s="36"/>
      <c r="G951" s="36"/>
      <c r="H951" s="28"/>
    </row>
    <row r="952" spans="1:8" ht="13.2">
      <c r="A952" s="35"/>
      <c r="B952" s="19" t="str">
        <f>IFERROR(VLOOKUP(A952, Tasks!A$89:E$133,2, FALSE), "")</f>
        <v/>
      </c>
      <c r="C952" s="35"/>
      <c r="D952" s="35"/>
      <c r="E952" s="15"/>
      <c r="F952" s="15"/>
      <c r="G952" s="15"/>
      <c r="H952" s="23"/>
    </row>
    <row r="953" spans="1:8" ht="13.2">
      <c r="A953" s="34"/>
      <c r="B953" s="24" t="str">
        <f>IFERROR(VLOOKUP(A953, Tasks!A$89:E$133,2, FALSE), "")</f>
        <v/>
      </c>
      <c r="C953" s="34"/>
      <c r="D953" s="34"/>
      <c r="E953" s="36"/>
      <c r="F953" s="36"/>
      <c r="G953" s="36"/>
      <c r="H953" s="28"/>
    </row>
    <row r="954" spans="1:8" ht="13.2">
      <c r="A954" s="35"/>
      <c r="B954" s="19" t="str">
        <f>IFERROR(VLOOKUP(A954, Tasks!A$89:E$133,2, FALSE), "")</f>
        <v/>
      </c>
      <c r="C954" s="35"/>
      <c r="D954" s="35"/>
      <c r="E954" s="15"/>
      <c r="F954" s="15"/>
      <c r="G954" s="15"/>
      <c r="H954" s="23"/>
    </row>
    <row r="955" spans="1:8" ht="13.2">
      <c r="A955" s="34"/>
      <c r="B955" s="24" t="str">
        <f>IFERROR(VLOOKUP(A955, Tasks!A$89:E$133,2, FALSE), "")</f>
        <v/>
      </c>
      <c r="C955" s="34"/>
      <c r="D955" s="34"/>
      <c r="E955" s="36"/>
      <c r="F955" s="36"/>
      <c r="G955" s="36"/>
      <c r="H955" s="28"/>
    </row>
    <row r="956" spans="1:8" ht="13.2">
      <c r="A956" s="35"/>
      <c r="B956" s="19" t="str">
        <f>IFERROR(VLOOKUP(A956, Tasks!A$89:E$133,2, FALSE), "")</f>
        <v/>
      </c>
      <c r="C956" s="35"/>
      <c r="D956" s="35"/>
      <c r="E956" s="15"/>
      <c r="F956" s="15"/>
      <c r="G956" s="15"/>
      <c r="H956" s="23"/>
    </row>
    <row r="957" spans="1:8" ht="13.2">
      <c r="A957" s="34"/>
      <c r="B957" s="24" t="str">
        <f>IFERROR(VLOOKUP(A957, Tasks!A$89:E$133,2, FALSE), "")</f>
        <v/>
      </c>
      <c r="C957" s="34"/>
      <c r="D957" s="34"/>
      <c r="E957" s="36"/>
      <c r="F957" s="36"/>
      <c r="G957" s="36"/>
      <c r="H957" s="28"/>
    </row>
    <row r="958" spans="1:8" ht="13.2">
      <c r="A958" s="35"/>
      <c r="B958" s="19" t="str">
        <f>IFERROR(VLOOKUP(A958, Tasks!A$89:E$133,2, FALSE), "")</f>
        <v/>
      </c>
      <c r="C958" s="35"/>
      <c r="D958" s="35"/>
      <c r="E958" s="15"/>
      <c r="F958" s="15"/>
      <c r="G958" s="15"/>
      <c r="H958" s="23"/>
    </row>
    <row r="959" spans="1:8" ht="13.2">
      <c r="A959" s="34"/>
      <c r="B959" s="24" t="str">
        <f>IFERROR(VLOOKUP(A959, Tasks!A$89:E$133,2, FALSE), "")</f>
        <v/>
      </c>
      <c r="C959" s="34"/>
      <c r="D959" s="34"/>
      <c r="E959" s="36"/>
      <c r="F959" s="36"/>
      <c r="G959" s="36"/>
      <c r="H959" s="28"/>
    </row>
    <row r="960" spans="1:8" ht="13.2">
      <c r="A960" s="35"/>
      <c r="B960" s="19" t="str">
        <f>IFERROR(VLOOKUP(A960, Tasks!A$89:E$133,2, FALSE), "")</f>
        <v/>
      </c>
      <c r="C960" s="35"/>
      <c r="D960" s="35"/>
      <c r="E960" s="15"/>
      <c r="F960" s="15"/>
      <c r="G960" s="15"/>
      <c r="H960" s="23"/>
    </row>
    <row r="961" spans="1:8" ht="13.2">
      <c r="A961" s="34"/>
      <c r="B961" s="24" t="str">
        <f>IFERROR(VLOOKUP(A961, Tasks!A$89:E$133,2, FALSE), "")</f>
        <v/>
      </c>
      <c r="C961" s="34"/>
      <c r="D961" s="34"/>
      <c r="E961" s="36"/>
      <c r="F961" s="36"/>
      <c r="G961" s="36"/>
      <c r="H961" s="28"/>
    </row>
    <row r="962" spans="1:8" ht="13.2">
      <c r="A962" s="35"/>
      <c r="B962" s="19" t="str">
        <f>IFERROR(VLOOKUP(A962, Tasks!A$89:E$133,2, FALSE), "")</f>
        <v/>
      </c>
      <c r="C962" s="35"/>
      <c r="D962" s="35"/>
      <c r="E962" s="15"/>
      <c r="F962" s="15"/>
      <c r="G962" s="15"/>
      <c r="H962" s="23"/>
    </row>
    <row r="963" spans="1:8" ht="13.2">
      <c r="A963" s="34"/>
      <c r="B963" s="24" t="str">
        <f>IFERROR(VLOOKUP(A963, Tasks!A$89:E$133,2, FALSE), "")</f>
        <v/>
      </c>
      <c r="C963" s="34"/>
      <c r="D963" s="34"/>
      <c r="E963" s="36"/>
      <c r="F963" s="36"/>
      <c r="G963" s="36"/>
      <c r="H963" s="28"/>
    </row>
    <row r="964" spans="1:8" ht="13.2">
      <c r="A964" s="35"/>
      <c r="B964" s="19" t="str">
        <f>IFERROR(VLOOKUP(A964, Tasks!A$89:E$133,2, FALSE), "")</f>
        <v/>
      </c>
      <c r="C964" s="35"/>
      <c r="D964" s="35"/>
      <c r="E964" s="15"/>
      <c r="F964" s="15"/>
      <c r="G964" s="15"/>
      <c r="H964" s="23"/>
    </row>
    <row r="965" spans="1:8" ht="13.2">
      <c r="A965" s="34"/>
      <c r="B965" s="24" t="str">
        <f>IFERROR(VLOOKUP(A965, Tasks!A$89:E$133,2, FALSE), "")</f>
        <v/>
      </c>
      <c r="C965" s="34"/>
      <c r="D965" s="34"/>
      <c r="E965" s="36"/>
      <c r="F965" s="36"/>
      <c r="G965" s="36"/>
      <c r="H965" s="28"/>
    </row>
    <row r="966" spans="1:8" ht="13.2">
      <c r="A966" s="35"/>
      <c r="B966" s="19" t="str">
        <f>IFERROR(VLOOKUP(A966, Tasks!A$89:E$133,2, FALSE), "")</f>
        <v/>
      </c>
      <c r="C966" s="35"/>
      <c r="D966" s="35"/>
      <c r="E966" s="15"/>
      <c r="F966" s="15"/>
      <c r="G966" s="15"/>
      <c r="H966" s="23"/>
    </row>
    <row r="967" spans="1:8" ht="13.2">
      <c r="A967" s="34"/>
      <c r="B967" s="24" t="str">
        <f>IFERROR(VLOOKUP(A967, Tasks!A$89:E$133,2, FALSE), "")</f>
        <v/>
      </c>
      <c r="C967" s="34"/>
      <c r="D967" s="34"/>
      <c r="E967" s="36"/>
      <c r="F967" s="36"/>
      <c r="G967" s="36"/>
      <c r="H967" s="28"/>
    </row>
    <row r="968" spans="1:8" ht="13.2">
      <c r="A968" s="35"/>
      <c r="B968" s="19" t="str">
        <f>IFERROR(VLOOKUP(A968, Tasks!A$89:E$133,2, FALSE), "")</f>
        <v/>
      </c>
      <c r="C968" s="35"/>
      <c r="D968" s="35"/>
      <c r="E968" s="15"/>
      <c r="F968" s="15"/>
      <c r="G968" s="15"/>
      <c r="H968" s="23"/>
    </row>
    <row r="969" spans="1:8" ht="13.2">
      <c r="A969" s="34"/>
      <c r="B969" s="24" t="str">
        <f>IFERROR(VLOOKUP(A969, Tasks!A$89:E$133,2, FALSE), "")</f>
        <v/>
      </c>
      <c r="C969" s="34"/>
      <c r="D969" s="34"/>
      <c r="E969" s="36"/>
      <c r="F969" s="36"/>
      <c r="G969" s="36"/>
      <c r="H969" s="28"/>
    </row>
    <row r="970" spans="1:8" ht="13.2">
      <c r="A970" s="35"/>
      <c r="B970" s="19" t="str">
        <f>IFERROR(VLOOKUP(A970, Tasks!A$89:E$133,2, FALSE), "")</f>
        <v/>
      </c>
      <c r="C970" s="35"/>
      <c r="D970" s="35"/>
      <c r="E970" s="15"/>
      <c r="F970" s="15"/>
      <c r="G970" s="15"/>
      <c r="H970" s="23"/>
    </row>
    <row r="971" spans="1:8" ht="13.2">
      <c r="A971" s="34"/>
      <c r="B971" s="24" t="str">
        <f>IFERROR(VLOOKUP(A971, Tasks!A$89:E$133,2, FALSE), "")</f>
        <v/>
      </c>
      <c r="C971" s="34"/>
      <c r="D971" s="34"/>
      <c r="E971" s="36"/>
      <c r="F971" s="36"/>
      <c r="G971" s="36"/>
      <c r="H971" s="28"/>
    </row>
    <row r="972" spans="1:8" ht="13.2">
      <c r="A972" s="35"/>
      <c r="B972" s="19" t="str">
        <f>IFERROR(VLOOKUP(A972, Tasks!A$89:E$133,2, FALSE), "")</f>
        <v/>
      </c>
      <c r="C972" s="35"/>
      <c r="D972" s="35"/>
      <c r="E972" s="15"/>
      <c r="F972" s="15"/>
      <c r="G972" s="15"/>
      <c r="H972" s="23"/>
    </row>
    <row r="973" spans="1:8" ht="13.2">
      <c r="A973" s="34"/>
      <c r="B973" s="24" t="str">
        <f>IFERROR(VLOOKUP(A973, Tasks!A$89:E$133,2, FALSE), "")</f>
        <v/>
      </c>
      <c r="C973" s="34"/>
      <c r="D973" s="34"/>
      <c r="E973" s="36"/>
      <c r="F973" s="36"/>
      <c r="G973" s="36"/>
      <c r="H973" s="28"/>
    </row>
    <row r="974" spans="1:8" ht="13.2">
      <c r="A974" s="35"/>
      <c r="B974" s="19" t="str">
        <f>IFERROR(VLOOKUP(A974, Tasks!A$89:E$133,2, FALSE), "")</f>
        <v/>
      </c>
      <c r="C974" s="35"/>
      <c r="D974" s="35"/>
      <c r="E974" s="15"/>
      <c r="F974" s="15"/>
      <c r="G974" s="15"/>
      <c r="H974" s="23"/>
    </row>
    <row r="975" spans="1:8" ht="13.2">
      <c r="A975" s="34"/>
      <c r="B975" s="24" t="str">
        <f>IFERROR(VLOOKUP(A975, Tasks!A$89:E$133,2, FALSE), "")</f>
        <v/>
      </c>
      <c r="C975" s="34"/>
      <c r="D975" s="34"/>
      <c r="E975" s="36"/>
      <c r="F975" s="36"/>
      <c r="G975" s="36"/>
      <c r="H975" s="28"/>
    </row>
    <row r="976" spans="1:8" ht="13.2">
      <c r="A976" s="35"/>
      <c r="B976" s="19" t="str">
        <f>IFERROR(VLOOKUP(A976, Tasks!A$89:E$133,2, FALSE), "")</f>
        <v/>
      </c>
      <c r="C976" s="35"/>
      <c r="D976" s="35"/>
      <c r="E976" s="15"/>
      <c r="F976" s="15"/>
      <c r="G976" s="15"/>
      <c r="H976" s="23"/>
    </row>
    <row r="977" spans="1:8" ht="13.2">
      <c r="A977" s="34"/>
      <c r="B977" s="24" t="str">
        <f>IFERROR(VLOOKUP(A977, Tasks!A$89:E$133,2, FALSE), "")</f>
        <v/>
      </c>
      <c r="C977" s="34"/>
      <c r="D977" s="34"/>
      <c r="E977" s="36"/>
      <c r="F977" s="36"/>
      <c r="G977" s="36"/>
      <c r="H977" s="28"/>
    </row>
    <row r="978" spans="1:8" ht="13.2">
      <c r="A978" s="35"/>
      <c r="B978" s="19" t="str">
        <f>IFERROR(VLOOKUP(A978, Tasks!A$89:E$133,2, FALSE), "")</f>
        <v/>
      </c>
      <c r="C978" s="35"/>
      <c r="D978" s="35"/>
      <c r="E978" s="15"/>
      <c r="F978" s="15"/>
      <c r="G978" s="15"/>
      <c r="H978" s="23"/>
    </row>
    <row r="979" spans="1:8" ht="13.2">
      <c r="A979" s="34"/>
      <c r="B979" s="24" t="str">
        <f>IFERROR(VLOOKUP(A979, Tasks!A$89:E$133,2, FALSE), "")</f>
        <v/>
      </c>
      <c r="C979" s="34"/>
      <c r="D979" s="34"/>
      <c r="E979" s="36"/>
      <c r="F979" s="36"/>
      <c r="G979" s="36"/>
      <c r="H979" s="28"/>
    </row>
    <row r="980" spans="1:8" ht="13.2">
      <c r="A980" s="35"/>
      <c r="B980" s="19" t="str">
        <f>IFERROR(VLOOKUP(A980, Tasks!A$89:E$133,2, FALSE), "")</f>
        <v/>
      </c>
      <c r="C980" s="35"/>
      <c r="D980" s="35"/>
      <c r="E980" s="15"/>
      <c r="F980" s="15"/>
      <c r="G980" s="15"/>
      <c r="H980" s="23"/>
    </row>
    <row r="981" spans="1:8" ht="13.2">
      <c r="A981" s="34"/>
      <c r="B981" s="24" t="str">
        <f>IFERROR(VLOOKUP(A981, Tasks!A$89:E$133,2, FALSE), "")</f>
        <v/>
      </c>
      <c r="C981" s="34"/>
      <c r="D981" s="34"/>
      <c r="E981" s="36"/>
      <c r="F981" s="36"/>
      <c r="G981" s="36"/>
      <c r="H981" s="28"/>
    </row>
    <row r="982" spans="1:8" ht="13.2">
      <c r="A982" s="35"/>
      <c r="B982" s="19" t="str">
        <f>IFERROR(VLOOKUP(A982, Tasks!A$89:E$133,2, FALSE), "")</f>
        <v/>
      </c>
      <c r="C982" s="35"/>
      <c r="D982" s="35"/>
      <c r="E982" s="15"/>
      <c r="F982" s="15"/>
      <c r="G982" s="15"/>
      <c r="H982" s="23"/>
    </row>
    <row r="983" spans="1:8" ht="13.2">
      <c r="A983" s="34"/>
      <c r="B983" s="24" t="str">
        <f>IFERROR(VLOOKUP(A983, Tasks!A$89:E$133,2, FALSE), "")</f>
        <v/>
      </c>
      <c r="C983" s="34"/>
      <c r="D983" s="34"/>
      <c r="E983" s="36"/>
      <c r="F983" s="36"/>
      <c r="G983" s="36"/>
      <c r="H983" s="28"/>
    </row>
    <row r="984" spans="1:8" ht="13.2">
      <c r="A984" s="35"/>
      <c r="B984" s="19" t="str">
        <f>IFERROR(VLOOKUP(A984, Tasks!A$89:E$133,2, FALSE), "")</f>
        <v/>
      </c>
      <c r="C984" s="35"/>
      <c r="D984" s="35"/>
      <c r="E984" s="15"/>
      <c r="F984" s="15"/>
      <c r="G984" s="15"/>
      <c r="H984" s="23"/>
    </row>
    <row r="985" spans="1:8" ht="13.2">
      <c r="A985" s="34"/>
      <c r="B985" s="24" t="str">
        <f>IFERROR(VLOOKUP(A985, Tasks!A$89:E$133,2, FALSE), "")</f>
        <v/>
      </c>
      <c r="C985" s="34"/>
      <c r="D985" s="34"/>
      <c r="E985" s="36"/>
      <c r="F985" s="36"/>
      <c r="G985" s="36"/>
      <c r="H985" s="28"/>
    </row>
    <row r="986" spans="1:8" ht="13.2">
      <c r="A986" s="35"/>
      <c r="B986" s="19" t="str">
        <f>IFERROR(VLOOKUP(A986, Tasks!A$89:E$133,2, FALSE), "")</f>
        <v/>
      </c>
      <c r="C986" s="35"/>
      <c r="D986" s="35"/>
      <c r="E986" s="15"/>
      <c r="F986" s="15"/>
      <c r="G986" s="15"/>
      <c r="H986" s="23"/>
    </row>
    <row r="987" spans="1:8" ht="13.2">
      <c r="A987" s="34"/>
      <c r="B987" s="24" t="str">
        <f>IFERROR(VLOOKUP(A987, Tasks!A$89:E$133,2, FALSE), "")</f>
        <v/>
      </c>
      <c r="C987" s="34"/>
      <c r="D987" s="34"/>
      <c r="E987" s="36"/>
      <c r="F987" s="36"/>
      <c r="G987" s="36"/>
      <c r="H987" s="28"/>
    </row>
    <row r="988" spans="1:8" ht="13.2">
      <c r="A988" s="35"/>
      <c r="B988" s="19" t="str">
        <f>IFERROR(VLOOKUP(A988, Tasks!A$89:E$133,2, FALSE), "")</f>
        <v/>
      </c>
      <c r="C988" s="35"/>
      <c r="D988" s="35"/>
      <c r="E988" s="15"/>
      <c r="F988" s="15"/>
      <c r="G988" s="15"/>
      <c r="H988" s="23"/>
    </row>
    <row r="989" spans="1:8" ht="13.2">
      <c r="A989" s="34"/>
      <c r="B989" s="24" t="str">
        <f>IFERROR(VLOOKUP(A989, Tasks!A$89:E$133,2, FALSE), "")</f>
        <v/>
      </c>
      <c r="C989" s="34"/>
      <c r="D989" s="34"/>
      <c r="E989" s="36"/>
      <c r="F989" s="36"/>
      <c r="G989" s="36"/>
      <c r="H989" s="28"/>
    </row>
    <row r="990" spans="1:8" ht="13.2">
      <c r="A990" s="35"/>
      <c r="B990" s="19" t="str">
        <f>IFERROR(VLOOKUP(A990, Tasks!A$89:E$133,2, FALSE), "")</f>
        <v/>
      </c>
      <c r="C990" s="35"/>
      <c r="D990" s="35"/>
      <c r="E990" s="15"/>
      <c r="F990" s="15"/>
      <c r="G990" s="15"/>
      <c r="H990" s="23"/>
    </row>
    <row r="991" spans="1:8" ht="13.2">
      <c r="A991" s="34"/>
      <c r="B991" s="24" t="str">
        <f>IFERROR(VLOOKUP(A991, Tasks!A$89:E$133,2, FALSE), "")</f>
        <v/>
      </c>
      <c r="C991" s="34"/>
      <c r="D991" s="34"/>
      <c r="E991" s="36"/>
      <c r="F991" s="36"/>
      <c r="G991" s="36"/>
      <c r="H991" s="28"/>
    </row>
    <row r="992" spans="1:8" ht="13.2">
      <c r="A992" s="35"/>
      <c r="B992" s="19" t="str">
        <f>IFERROR(VLOOKUP(A992, Tasks!A$89:E$133,2, FALSE), "")</f>
        <v/>
      </c>
      <c r="C992" s="35"/>
      <c r="D992" s="35"/>
      <c r="E992" s="15"/>
      <c r="F992" s="15"/>
      <c r="G992" s="15"/>
      <c r="H992" s="23"/>
    </row>
    <row r="993" spans="1:8" ht="13.2">
      <c r="A993" s="34"/>
      <c r="B993" s="24" t="str">
        <f>IFERROR(VLOOKUP(A993, Tasks!A$89:E$133,2, FALSE), "")</f>
        <v/>
      </c>
      <c r="C993" s="34"/>
      <c r="D993" s="34"/>
      <c r="E993" s="36"/>
      <c r="F993" s="36"/>
      <c r="G993" s="36"/>
      <c r="H993" s="28"/>
    </row>
    <row r="994" spans="1:8" ht="13.2">
      <c r="A994" s="35"/>
      <c r="B994" s="19" t="str">
        <f>IFERROR(VLOOKUP(A994, Tasks!A$89:E$133,2, FALSE), "")</f>
        <v/>
      </c>
      <c r="C994" s="35"/>
      <c r="D994" s="35"/>
      <c r="E994" s="15"/>
      <c r="F994" s="15"/>
      <c r="G994" s="15"/>
      <c r="H994" s="23"/>
    </row>
    <row r="995" spans="1:8" ht="13.2">
      <c r="A995" s="34"/>
      <c r="B995" s="24" t="str">
        <f>IFERROR(VLOOKUP(A995, Tasks!A$89:E$133,2, FALSE), "")</f>
        <v/>
      </c>
      <c r="C995" s="34"/>
      <c r="D995" s="34"/>
      <c r="E995" s="36"/>
      <c r="F995" s="36"/>
      <c r="G995" s="36"/>
      <c r="H995" s="28"/>
    </row>
    <row r="996" spans="1:8" ht="13.2">
      <c r="A996" s="35"/>
      <c r="B996" s="19" t="str">
        <f>IFERROR(VLOOKUP(A996, Tasks!A$89:E$133,2, FALSE), "")</f>
        <v/>
      </c>
      <c r="C996" s="35"/>
      <c r="D996" s="35"/>
      <c r="E996" s="15"/>
      <c r="F996" s="15"/>
      <c r="G996" s="15"/>
      <c r="H996" s="23"/>
    </row>
    <row r="997" spans="1:8" ht="13.2">
      <c r="A997" s="34"/>
      <c r="B997" s="24" t="str">
        <f>IFERROR(VLOOKUP(A997, Tasks!A$89:E$133,2, FALSE), "")</f>
        <v/>
      </c>
      <c r="C997" s="34"/>
      <c r="D997" s="34"/>
      <c r="E997" s="36"/>
      <c r="F997" s="36"/>
      <c r="G997" s="36"/>
      <c r="H997" s="28"/>
    </row>
    <row r="998" spans="1:8" ht="13.2">
      <c r="A998" s="35"/>
      <c r="B998" s="19" t="str">
        <f>IFERROR(VLOOKUP(A998, Tasks!A$89:E$133,2, FALSE), "")</f>
        <v/>
      </c>
      <c r="C998" s="35"/>
      <c r="D998" s="35"/>
      <c r="E998" s="15"/>
      <c r="F998" s="15"/>
      <c r="G998" s="15"/>
      <c r="H998" s="23"/>
    </row>
  </sheetData>
  <autoFilter ref="A3:H162" xr:uid="{00000000-0009-0000-0000-000002000000}"/>
  <mergeCells count="1">
    <mergeCell ref="A1:H1"/>
  </mergeCells>
  <conditionalFormatting sqref="A112">
    <cfRule type="notContainsBlanks" dxfId="5" priority="1">
      <formula>LEN(TRIM(A112))&gt;0</formula>
    </cfRule>
  </conditionalFormatting>
  <dataValidations count="2">
    <dataValidation type="list" allowBlank="1" showErrorMessage="1" sqref="H4:H998" xr:uid="{00000000-0002-0000-0200-000000000000}">
      <formula1>"0.5,1.0,1.5,2.0,2.5,3.0,3.5,4.0,4.5,5.0,5.5,6.0,6.5,7.0,7.5,8.0"</formula1>
    </dataValidation>
    <dataValidation type="list" allowBlank="1" showErrorMessage="1" sqref="E4:E998" xr:uid="{00000000-0002-0000-0200-000002000000}">
      <formula1>#REF!</formula1>
    </dataValidation>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ErrorMessage="1" xr:uid="{00000000-0002-0000-0200-000001000000}">
          <x14:formula1>
            <xm:f>Tasks!$A$3:$A998</xm:f>
          </x14:formula1>
          <xm:sqref>A4:A998</xm:sqref>
        </x14:dataValidation>
        <x14:dataValidation type="list" allowBlank="1" showErrorMessage="1" xr:uid="{00000000-0002-0000-0200-000003000000}">
          <x14:formula1>
            <xm:f>Calendar!$A$4:$A$13</xm:f>
          </x14:formula1>
          <xm:sqref>F4:G998</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tabColor rgb="FFE67C73"/>
    <outlinePr summaryBelow="0" summaryRight="0"/>
    <pageSetUpPr fitToPage="1"/>
  </sheetPr>
  <dimension ref="A1:L633"/>
  <sheetViews>
    <sheetView workbookViewId="0">
      <selection sqref="A1:D1"/>
    </sheetView>
  </sheetViews>
  <sheetFormatPr defaultColWidth="12.5546875" defaultRowHeight="15.75" customHeight="1"/>
  <cols>
    <col min="1" max="2" width="10.109375" customWidth="1"/>
    <col min="3" max="3" width="7.5546875" customWidth="1"/>
    <col min="4" max="4" width="9.33203125" customWidth="1"/>
    <col min="5" max="5" width="77.6640625" customWidth="1"/>
    <col min="6" max="6" width="15.6640625" customWidth="1"/>
    <col min="7" max="7" width="14.5546875" customWidth="1"/>
    <col min="8" max="8" width="12.6640625" customWidth="1"/>
    <col min="9" max="9" width="9.5546875" customWidth="1"/>
    <col min="10" max="10" width="10.5546875" customWidth="1"/>
    <col min="11" max="11" width="14" customWidth="1"/>
    <col min="12" max="12" width="30.44140625" customWidth="1"/>
  </cols>
  <sheetData>
    <row r="1" spans="1:12" ht="30.75" customHeight="1">
      <c r="A1" s="120" t="s">
        <v>194</v>
      </c>
      <c r="B1" s="118"/>
      <c r="C1" s="118"/>
      <c r="D1" s="119"/>
      <c r="E1" s="16"/>
      <c r="F1" s="16"/>
      <c r="G1" s="16"/>
      <c r="H1" s="16"/>
      <c r="I1" s="16"/>
      <c r="J1" s="16"/>
      <c r="K1" s="16"/>
      <c r="L1" s="16"/>
    </row>
    <row r="2" spans="1:12" ht="13.2">
      <c r="A2" s="16" t="s">
        <v>39</v>
      </c>
      <c r="B2" s="16" t="s">
        <v>7</v>
      </c>
      <c r="C2" s="46" t="s">
        <v>0</v>
      </c>
      <c r="D2" s="16" t="s">
        <v>3</v>
      </c>
      <c r="E2" s="16" t="s">
        <v>195</v>
      </c>
      <c r="F2" s="16" t="s">
        <v>41</v>
      </c>
      <c r="G2" s="16" t="s">
        <v>42</v>
      </c>
      <c r="H2" s="16" t="s">
        <v>5</v>
      </c>
      <c r="I2" s="16" t="s">
        <v>196</v>
      </c>
      <c r="J2" s="16" t="s">
        <v>197</v>
      </c>
      <c r="K2" s="16" t="s">
        <v>8</v>
      </c>
      <c r="L2" s="16" t="s">
        <v>198</v>
      </c>
    </row>
    <row r="3" spans="1:12" ht="13.2" hidden="1">
      <c r="A3" s="24" t="s">
        <v>199</v>
      </c>
      <c r="B3" s="24">
        <v>1</v>
      </c>
      <c r="C3" s="27" t="s">
        <v>200</v>
      </c>
      <c r="D3" s="36">
        <v>1</v>
      </c>
      <c r="E3" s="47" t="s">
        <v>201</v>
      </c>
      <c r="F3" s="36" t="s">
        <v>49</v>
      </c>
      <c r="G3" s="36" t="s">
        <v>45</v>
      </c>
      <c r="H3" s="48">
        <v>0.5</v>
      </c>
      <c r="I3" s="48">
        <v>1</v>
      </c>
      <c r="J3" s="30"/>
      <c r="K3" s="36" t="s">
        <v>10</v>
      </c>
      <c r="L3" s="49"/>
    </row>
    <row r="4" spans="1:12" ht="13.2" hidden="1">
      <c r="A4" s="19" t="s">
        <v>202</v>
      </c>
      <c r="B4" s="19">
        <v>1</v>
      </c>
      <c r="C4" s="22" t="s">
        <v>200</v>
      </c>
      <c r="D4" s="15">
        <v>1</v>
      </c>
      <c r="E4" s="50" t="s">
        <v>203</v>
      </c>
      <c r="F4" s="15" t="s">
        <v>45</v>
      </c>
      <c r="G4" s="15" t="s">
        <v>49</v>
      </c>
      <c r="H4" s="51">
        <v>0.25</v>
      </c>
      <c r="I4" s="51">
        <v>1</v>
      </c>
      <c r="J4" s="29"/>
      <c r="K4" s="15" t="s">
        <v>10</v>
      </c>
      <c r="L4" s="52"/>
    </row>
    <row r="5" spans="1:12" ht="13.2" hidden="1">
      <c r="A5" s="24" t="s">
        <v>204</v>
      </c>
      <c r="B5" s="24">
        <v>1</v>
      </c>
      <c r="C5" s="27" t="s">
        <v>200</v>
      </c>
      <c r="D5" s="36">
        <v>1</v>
      </c>
      <c r="E5" s="47" t="s">
        <v>205</v>
      </c>
      <c r="F5" s="36" t="s">
        <v>49</v>
      </c>
      <c r="G5" s="36" t="s">
        <v>45</v>
      </c>
      <c r="H5" s="48">
        <v>0.25</v>
      </c>
      <c r="I5" s="48">
        <v>0.5</v>
      </c>
      <c r="J5" s="30"/>
      <c r="K5" s="36" t="s">
        <v>10</v>
      </c>
      <c r="L5" s="49"/>
    </row>
    <row r="6" spans="1:12" ht="13.2" hidden="1">
      <c r="A6" s="19" t="s">
        <v>206</v>
      </c>
      <c r="B6" s="19">
        <v>1</v>
      </c>
      <c r="C6" s="22" t="s">
        <v>200</v>
      </c>
      <c r="D6" s="15">
        <v>1</v>
      </c>
      <c r="E6" s="50" t="s">
        <v>207</v>
      </c>
      <c r="F6" s="15" t="s">
        <v>49</v>
      </c>
      <c r="G6" s="15" t="s">
        <v>45</v>
      </c>
      <c r="H6" s="51">
        <v>0.5</v>
      </c>
      <c r="I6" s="51">
        <v>1</v>
      </c>
      <c r="J6" s="29"/>
      <c r="K6" s="15" t="s">
        <v>10</v>
      </c>
      <c r="L6" s="52"/>
    </row>
    <row r="7" spans="1:12" ht="13.2" hidden="1">
      <c r="A7" s="24" t="s">
        <v>208</v>
      </c>
      <c r="B7" s="24">
        <v>1</v>
      </c>
      <c r="C7" s="27" t="s">
        <v>200</v>
      </c>
      <c r="D7" s="36">
        <v>1</v>
      </c>
      <c r="E7" s="47" t="s">
        <v>209</v>
      </c>
      <c r="F7" s="36" t="s">
        <v>45</v>
      </c>
      <c r="G7" s="36" t="s">
        <v>49</v>
      </c>
      <c r="H7" s="48">
        <v>1</v>
      </c>
      <c r="I7" s="48">
        <v>2</v>
      </c>
      <c r="J7" s="30"/>
      <c r="K7" s="36" t="s">
        <v>10</v>
      </c>
      <c r="L7" s="49"/>
    </row>
    <row r="8" spans="1:12" ht="13.2" hidden="1">
      <c r="A8" s="19" t="s">
        <v>210</v>
      </c>
      <c r="B8" s="19">
        <v>1</v>
      </c>
      <c r="C8" s="22" t="s">
        <v>200</v>
      </c>
      <c r="D8" s="15">
        <v>1</v>
      </c>
      <c r="E8" s="50" t="s">
        <v>211</v>
      </c>
      <c r="F8" s="15" t="s">
        <v>45</v>
      </c>
      <c r="G8" s="15" t="s">
        <v>49</v>
      </c>
      <c r="H8" s="51">
        <v>1</v>
      </c>
      <c r="I8" s="51">
        <v>1</v>
      </c>
      <c r="J8" s="29"/>
      <c r="K8" s="15" t="s">
        <v>10</v>
      </c>
      <c r="L8" s="52"/>
    </row>
    <row r="9" spans="1:12" ht="13.2" hidden="1">
      <c r="A9" s="24" t="s">
        <v>212</v>
      </c>
      <c r="B9" s="24">
        <v>1</v>
      </c>
      <c r="C9" s="27" t="s">
        <v>200</v>
      </c>
      <c r="D9" s="36">
        <v>1</v>
      </c>
      <c r="E9" s="47" t="s">
        <v>213</v>
      </c>
      <c r="F9" s="36" t="s">
        <v>49</v>
      </c>
      <c r="G9" s="36" t="s">
        <v>45</v>
      </c>
      <c r="H9" s="48">
        <v>1</v>
      </c>
      <c r="I9" s="48">
        <v>0.5</v>
      </c>
      <c r="J9" s="30"/>
      <c r="K9" s="36" t="s">
        <v>10</v>
      </c>
      <c r="L9" s="49"/>
    </row>
    <row r="10" spans="1:12" ht="13.2" hidden="1">
      <c r="A10" s="19" t="s">
        <v>214</v>
      </c>
      <c r="B10" s="19">
        <v>1</v>
      </c>
      <c r="C10" s="22" t="s">
        <v>200</v>
      </c>
      <c r="D10" s="15">
        <v>1</v>
      </c>
      <c r="E10" s="50" t="s">
        <v>215</v>
      </c>
      <c r="F10" s="15" t="s">
        <v>45</v>
      </c>
      <c r="G10" s="15" t="s">
        <v>49</v>
      </c>
      <c r="H10" s="51">
        <v>1</v>
      </c>
      <c r="I10" s="51">
        <v>2</v>
      </c>
      <c r="J10" s="29"/>
      <c r="K10" s="15" t="s">
        <v>10</v>
      </c>
      <c r="L10" s="52"/>
    </row>
    <row r="11" spans="1:12" ht="13.2" hidden="1">
      <c r="A11" s="24" t="s">
        <v>216</v>
      </c>
      <c r="B11" s="24">
        <v>1</v>
      </c>
      <c r="C11" s="27" t="s">
        <v>200</v>
      </c>
      <c r="D11" s="36">
        <v>1</v>
      </c>
      <c r="E11" s="47" t="s">
        <v>217</v>
      </c>
      <c r="F11" s="36" t="s">
        <v>49</v>
      </c>
      <c r="G11" s="36" t="s">
        <v>45</v>
      </c>
      <c r="H11" s="48">
        <v>1</v>
      </c>
      <c r="I11" s="48">
        <v>1</v>
      </c>
      <c r="J11" s="30"/>
      <c r="K11" s="36" t="s">
        <v>10</v>
      </c>
      <c r="L11" s="49"/>
    </row>
    <row r="12" spans="1:12" ht="13.2" hidden="1">
      <c r="A12" s="19" t="s">
        <v>218</v>
      </c>
      <c r="B12" s="19">
        <v>1</v>
      </c>
      <c r="C12" s="22" t="s">
        <v>200</v>
      </c>
      <c r="D12" s="15">
        <v>1</v>
      </c>
      <c r="E12" s="50" t="s">
        <v>219</v>
      </c>
      <c r="F12" s="15" t="s">
        <v>45</v>
      </c>
      <c r="G12" s="15" t="s">
        <v>49</v>
      </c>
      <c r="H12" s="51">
        <v>0.5</v>
      </c>
      <c r="I12" s="51">
        <v>0.5</v>
      </c>
      <c r="J12" s="29"/>
      <c r="K12" s="15" t="s">
        <v>10</v>
      </c>
      <c r="L12" s="52"/>
    </row>
    <row r="13" spans="1:12" ht="13.2" hidden="1">
      <c r="A13" s="24" t="s">
        <v>220</v>
      </c>
      <c r="B13" s="24">
        <v>1</v>
      </c>
      <c r="C13" s="27" t="s">
        <v>200</v>
      </c>
      <c r="D13" s="36">
        <v>1</v>
      </c>
      <c r="E13" s="47" t="s">
        <v>221</v>
      </c>
      <c r="F13" s="36" t="s">
        <v>49</v>
      </c>
      <c r="G13" s="36" t="s">
        <v>45</v>
      </c>
      <c r="H13" s="48">
        <v>0.5</v>
      </c>
      <c r="I13" s="48">
        <v>0.5</v>
      </c>
      <c r="J13" s="30"/>
      <c r="K13" s="36" t="s">
        <v>10</v>
      </c>
      <c r="L13" s="49"/>
    </row>
    <row r="14" spans="1:12" ht="13.2" hidden="1">
      <c r="A14" s="19" t="s">
        <v>222</v>
      </c>
      <c r="B14" s="19">
        <v>1</v>
      </c>
      <c r="C14" s="22" t="s">
        <v>200</v>
      </c>
      <c r="D14" s="15">
        <v>1</v>
      </c>
      <c r="E14" s="50" t="s">
        <v>223</v>
      </c>
      <c r="F14" s="15" t="s">
        <v>45</v>
      </c>
      <c r="G14" s="15" t="s">
        <v>49</v>
      </c>
      <c r="H14" s="51">
        <v>0.5</v>
      </c>
      <c r="I14" s="51">
        <v>1</v>
      </c>
      <c r="J14" s="29"/>
      <c r="K14" s="15" t="s">
        <v>10</v>
      </c>
      <c r="L14" s="52"/>
    </row>
    <row r="15" spans="1:12" ht="13.2" hidden="1">
      <c r="A15" s="24" t="s">
        <v>224</v>
      </c>
      <c r="B15" s="24">
        <v>1</v>
      </c>
      <c r="C15" s="27" t="s">
        <v>200</v>
      </c>
      <c r="D15" s="36">
        <v>1</v>
      </c>
      <c r="E15" s="47" t="s">
        <v>225</v>
      </c>
      <c r="F15" s="36" t="s">
        <v>45</v>
      </c>
      <c r="G15" s="36" t="s">
        <v>49</v>
      </c>
      <c r="H15" s="48">
        <v>1</v>
      </c>
      <c r="I15" s="48">
        <v>1.5</v>
      </c>
      <c r="J15" s="30"/>
      <c r="K15" s="36" t="s">
        <v>10</v>
      </c>
      <c r="L15" s="49"/>
    </row>
    <row r="16" spans="1:12" ht="13.2" hidden="1">
      <c r="A16" s="19" t="s">
        <v>226</v>
      </c>
      <c r="B16" s="19">
        <v>1</v>
      </c>
      <c r="C16" s="22" t="s">
        <v>200</v>
      </c>
      <c r="D16" s="15">
        <v>1</v>
      </c>
      <c r="E16" s="50" t="s">
        <v>227</v>
      </c>
      <c r="F16" s="15" t="s">
        <v>70</v>
      </c>
      <c r="G16" s="15" t="s">
        <v>66</v>
      </c>
      <c r="H16" s="51">
        <v>1.5</v>
      </c>
      <c r="I16" s="51">
        <v>4</v>
      </c>
      <c r="J16" s="29"/>
      <c r="K16" s="15" t="s">
        <v>10</v>
      </c>
      <c r="L16" s="52"/>
    </row>
    <row r="17" spans="1:12" ht="13.2" hidden="1">
      <c r="A17" s="24" t="s">
        <v>228</v>
      </c>
      <c r="B17" s="24">
        <v>1</v>
      </c>
      <c r="C17" s="27" t="s">
        <v>200</v>
      </c>
      <c r="D17" s="36">
        <v>1</v>
      </c>
      <c r="E17" s="47" t="s">
        <v>229</v>
      </c>
      <c r="F17" s="36" t="s">
        <v>66</v>
      </c>
      <c r="G17" s="36" t="s">
        <v>70</v>
      </c>
      <c r="H17" s="48">
        <v>1</v>
      </c>
      <c r="I17" s="48">
        <v>2.5</v>
      </c>
      <c r="J17" s="30"/>
      <c r="K17" s="36" t="s">
        <v>10</v>
      </c>
      <c r="L17" s="49"/>
    </row>
    <row r="18" spans="1:12" ht="13.2" hidden="1">
      <c r="A18" s="19" t="s">
        <v>230</v>
      </c>
      <c r="B18" s="19">
        <v>1</v>
      </c>
      <c r="C18" s="22" t="s">
        <v>200</v>
      </c>
      <c r="D18" s="15">
        <v>1</v>
      </c>
      <c r="E18" s="50" t="s">
        <v>231</v>
      </c>
      <c r="F18" s="15" t="s">
        <v>66</v>
      </c>
      <c r="G18" s="15" t="s">
        <v>46</v>
      </c>
      <c r="H18" s="51">
        <v>1</v>
      </c>
      <c r="I18" s="51">
        <v>1</v>
      </c>
      <c r="J18" s="29"/>
      <c r="K18" s="15" t="s">
        <v>10</v>
      </c>
      <c r="L18" s="52"/>
    </row>
    <row r="19" spans="1:12" ht="13.2" hidden="1">
      <c r="A19" s="24" t="s">
        <v>232</v>
      </c>
      <c r="B19" s="24">
        <v>1</v>
      </c>
      <c r="C19" s="27" t="s">
        <v>200</v>
      </c>
      <c r="D19" s="36">
        <v>1</v>
      </c>
      <c r="E19" s="47" t="s">
        <v>233</v>
      </c>
      <c r="F19" s="36" t="s">
        <v>70</v>
      </c>
      <c r="G19" s="36" t="s">
        <v>66</v>
      </c>
      <c r="H19" s="48">
        <v>1</v>
      </c>
      <c r="I19" s="48">
        <v>1</v>
      </c>
      <c r="J19" s="30"/>
      <c r="K19" s="36" t="s">
        <v>10</v>
      </c>
      <c r="L19" s="49"/>
    </row>
    <row r="20" spans="1:12" ht="13.2" hidden="1">
      <c r="A20" s="19" t="s">
        <v>234</v>
      </c>
      <c r="B20" s="19">
        <v>1</v>
      </c>
      <c r="C20" s="22" t="s">
        <v>200</v>
      </c>
      <c r="D20" s="15">
        <v>1</v>
      </c>
      <c r="E20" s="50" t="s">
        <v>235</v>
      </c>
      <c r="F20" s="15" t="s">
        <v>70</v>
      </c>
      <c r="G20" s="15" t="s">
        <v>66</v>
      </c>
      <c r="H20" s="51">
        <v>1</v>
      </c>
      <c r="I20" s="51">
        <v>1.5</v>
      </c>
      <c r="J20" s="29"/>
      <c r="K20" s="15" t="s">
        <v>10</v>
      </c>
      <c r="L20" s="52"/>
    </row>
    <row r="21" spans="1:12" ht="13.2" hidden="1">
      <c r="A21" s="24" t="s">
        <v>236</v>
      </c>
      <c r="B21" s="24">
        <v>1</v>
      </c>
      <c r="C21" s="27" t="s">
        <v>200</v>
      </c>
      <c r="D21" s="36">
        <v>1</v>
      </c>
      <c r="E21" s="47" t="s">
        <v>237</v>
      </c>
      <c r="F21" s="36" t="s">
        <v>70</v>
      </c>
      <c r="G21" s="36" t="s">
        <v>66</v>
      </c>
      <c r="H21" s="48">
        <v>0.5</v>
      </c>
      <c r="I21" s="48">
        <v>1</v>
      </c>
      <c r="J21" s="30"/>
      <c r="K21" s="36" t="s">
        <v>10</v>
      </c>
      <c r="L21" s="49"/>
    </row>
    <row r="22" spans="1:12" ht="13.2" hidden="1">
      <c r="A22" s="19" t="s">
        <v>238</v>
      </c>
      <c r="B22" s="19">
        <v>1</v>
      </c>
      <c r="C22" s="22" t="s">
        <v>200</v>
      </c>
      <c r="D22" s="15">
        <v>1</v>
      </c>
      <c r="E22" s="50" t="s">
        <v>239</v>
      </c>
      <c r="F22" s="15" t="s">
        <v>53</v>
      </c>
      <c r="G22" s="15" t="s">
        <v>56</v>
      </c>
      <c r="H22" s="51">
        <v>1</v>
      </c>
      <c r="I22" s="51">
        <v>1</v>
      </c>
      <c r="J22" s="29"/>
      <c r="K22" s="15" t="s">
        <v>10</v>
      </c>
      <c r="L22" s="52"/>
    </row>
    <row r="23" spans="1:12" ht="13.2" hidden="1">
      <c r="A23" s="24" t="s">
        <v>240</v>
      </c>
      <c r="B23" s="24">
        <v>1</v>
      </c>
      <c r="C23" s="27" t="s">
        <v>200</v>
      </c>
      <c r="D23" s="36">
        <v>1</v>
      </c>
      <c r="E23" s="47" t="s">
        <v>241</v>
      </c>
      <c r="F23" s="36" t="s">
        <v>53</v>
      </c>
      <c r="G23" s="36" t="s">
        <v>56</v>
      </c>
      <c r="H23" s="48">
        <v>0.25</v>
      </c>
      <c r="I23" s="48">
        <v>0.5</v>
      </c>
      <c r="J23" s="30"/>
      <c r="K23" s="36" t="s">
        <v>10</v>
      </c>
      <c r="L23" s="49"/>
    </row>
    <row r="24" spans="1:12" ht="13.2" hidden="1">
      <c r="A24" s="19" t="s">
        <v>242</v>
      </c>
      <c r="B24" s="19">
        <v>1</v>
      </c>
      <c r="C24" s="22" t="s">
        <v>200</v>
      </c>
      <c r="D24" s="15">
        <v>1</v>
      </c>
      <c r="E24" s="50" t="s">
        <v>243</v>
      </c>
      <c r="F24" s="15" t="s">
        <v>53</v>
      </c>
      <c r="G24" s="15" t="s">
        <v>56</v>
      </c>
      <c r="H24" s="51">
        <v>1</v>
      </c>
      <c r="I24" s="51">
        <v>2</v>
      </c>
      <c r="J24" s="29"/>
      <c r="K24" s="15" t="s">
        <v>10</v>
      </c>
      <c r="L24" s="52"/>
    </row>
    <row r="25" spans="1:12" ht="13.2" hidden="1">
      <c r="A25" s="24" t="s">
        <v>244</v>
      </c>
      <c r="B25" s="24">
        <v>1</v>
      </c>
      <c r="C25" s="27" t="s">
        <v>200</v>
      </c>
      <c r="D25" s="36">
        <v>1</v>
      </c>
      <c r="E25" s="47" t="s">
        <v>245</v>
      </c>
      <c r="F25" s="36" t="s">
        <v>53</v>
      </c>
      <c r="G25" s="36" t="s">
        <v>56</v>
      </c>
      <c r="H25" s="48">
        <v>1</v>
      </c>
      <c r="I25" s="48">
        <v>2</v>
      </c>
      <c r="J25" s="30"/>
      <c r="K25" s="36" t="s">
        <v>10</v>
      </c>
      <c r="L25" s="49"/>
    </row>
    <row r="26" spans="1:12" ht="13.2" hidden="1">
      <c r="A26" s="19" t="s">
        <v>246</v>
      </c>
      <c r="B26" s="19">
        <v>1</v>
      </c>
      <c r="C26" s="22" t="s">
        <v>200</v>
      </c>
      <c r="D26" s="15">
        <v>1</v>
      </c>
      <c r="E26" s="50" t="s">
        <v>247</v>
      </c>
      <c r="F26" s="15" t="s">
        <v>53</v>
      </c>
      <c r="G26" s="15" t="s">
        <v>56</v>
      </c>
      <c r="H26" s="51">
        <v>1</v>
      </c>
      <c r="I26" s="51">
        <v>0.5</v>
      </c>
      <c r="J26" s="29"/>
      <c r="K26" s="15" t="s">
        <v>10</v>
      </c>
      <c r="L26" s="52"/>
    </row>
    <row r="27" spans="1:12" ht="13.2" hidden="1">
      <c r="A27" s="24" t="s">
        <v>248</v>
      </c>
      <c r="B27" s="24">
        <v>1</v>
      </c>
      <c r="C27" s="27" t="s">
        <v>200</v>
      </c>
      <c r="D27" s="36">
        <v>1</v>
      </c>
      <c r="E27" s="47" t="s">
        <v>249</v>
      </c>
      <c r="F27" s="36" t="s">
        <v>53</v>
      </c>
      <c r="G27" s="36" t="s">
        <v>56</v>
      </c>
      <c r="H27" s="48">
        <v>1.5</v>
      </c>
      <c r="I27" s="48">
        <v>1</v>
      </c>
      <c r="J27" s="30"/>
      <c r="K27" s="36" t="s">
        <v>10</v>
      </c>
      <c r="L27" s="49"/>
    </row>
    <row r="28" spans="1:12" ht="13.2" hidden="1">
      <c r="A28" s="19" t="s">
        <v>250</v>
      </c>
      <c r="B28" s="19">
        <v>1</v>
      </c>
      <c r="C28" s="22" t="s">
        <v>200</v>
      </c>
      <c r="D28" s="15">
        <v>1</v>
      </c>
      <c r="E28" s="50" t="s">
        <v>251</v>
      </c>
      <c r="F28" s="15" t="s">
        <v>53</v>
      </c>
      <c r="G28" s="15" t="s">
        <v>56</v>
      </c>
      <c r="H28" s="51">
        <v>1.5</v>
      </c>
      <c r="I28" s="51">
        <v>2.5</v>
      </c>
      <c r="J28" s="29"/>
      <c r="K28" s="15" t="s">
        <v>10</v>
      </c>
      <c r="L28" s="52"/>
    </row>
    <row r="29" spans="1:12" ht="13.2" hidden="1">
      <c r="A29" s="24" t="s">
        <v>252</v>
      </c>
      <c r="B29" s="24">
        <v>1</v>
      </c>
      <c r="C29" s="27" t="s">
        <v>200</v>
      </c>
      <c r="D29" s="36">
        <v>1</v>
      </c>
      <c r="E29" s="47" t="s">
        <v>253</v>
      </c>
      <c r="F29" s="36" t="s">
        <v>53</v>
      </c>
      <c r="G29" s="36" t="s">
        <v>56</v>
      </c>
      <c r="H29" s="48">
        <v>0.5</v>
      </c>
      <c r="I29" s="48">
        <v>0.5</v>
      </c>
      <c r="J29" s="30"/>
      <c r="K29" s="36" t="s">
        <v>10</v>
      </c>
      <c r="L29" s="49"/>
    </row>
    <row r="30" spans="1:12" ht="13.2" hidden="1">
      <c r="A30" s="19" t="s">
        <v>254</v>
      </c>
      <c r="B30" s="19">
        <v>1</v>
      </c>
      <c r="C30" s="22" t="s">
        <v>200</v>
      </c>
      <c r="D30" s="15">
        <v>1</v>
      </c>
      <c r="E30" s="50" t="s">
        <v>255</v>
      </c>
      <c r="F30" s="15" t="s">
        <v>53</v>
      </c>
      <c r="G30" s="15" t="s">
        <v>56</v>
      </c>
      <c r="H30" s="51">
        <v>0.25</v>
      </c>
      <c r="I30" s="51">
        <v>1</v>
      </c>
      <c r="J30" s="29"/>
      <c r="K30" s="15" t="s">
        <v>10</v>
      </c>
      <c r="L30" s="52"/>
    </row>
    <row r="31" spans="1:12" ht="13.2" hidden="1">
      <c r="A31" s="24" t="s">
        <v>256</v>
      </c>
      <c r="B31" s="24">
        <v>1</v>
      </c>
      <c r="C31" s="27" t="s">
        <v>257</v>
      </c>
      <c r="D31" s="36">
        <v>1</v>
      </c>
      <c r="E31" s="47" t="s">
        <v>258</v>
      </c>
      <c r="F31" s="36" t="s">
        <v>46</v>
      </c>
      <c r="G31" s="36" t="s">
        <v>52</v>
      </c>
      <c r="H31" s="48">
        <v>1.5</v>
      </c>
      <c r="I31" s="48">
        <v>2.5</v>
      </c>
      <c r="J31" s="30"/>
      <c r="K31" s="36" t="s">
        <v>10</v>
      </c>
      <c r="L31" s="49"/>
    </row>
    <row r="32" spans="1:12" ht="13.2" hidden="1">
      <c r="A32" s="19" t="s">
        <v>259</v>
      </c>
      <c r="B32" s="19">
        <v>1</v>
      </c>
      <c r="C32" s="22" t="s">
        <v>257</v>
      </c>
      <c r="D32" s="15">
        <v>1</v>
      </c>
      <c r="E32" s="50" t="s">
        <v>223</v>
      </c>
      <c r="F32" s="15" t="s">
        <v>52</v>
      </c>
      <c r="G32" s="15" t="s">
        <v>46</v>
      </c>
      <c r="H32" s="51">
        <v>0.5</v>
      </c>
      <c r="I32" s="51">
        <v>0.5</v>
      </c>
      <c r="J32" s="29"/>
      <c r="K32" s="15" t="s">
        <v>10</v>
      </c>
      <c r="L32" s="52"/>
    </row>
    <row r="33" spans="1:12" ht="13.2" hidden="1">
      <c r="A33" s="24" t="s">
        <v>260</v>
      </c>
      <c r="B33" s="24">
        <v>1</v>
      </c>
      <c r="C33" s="27" t="s">
        <v>257</v>
      </c>
      <c r="D33" s="36">
        <v>1</v>
      </c>
      <c r="E33" s="47" t="s">
        <v>261</v>
      </c>
      <c r="F33" s="36" t="s">
        <v>52</v>
      </c>
      <c r="G33" s="36" t="s">
        <v>46</v>
      </c>
      <c r="H33" s="48">
        <v>0.5</v>
      </c>
      <c r="I33" s="48">
        <v>0.5</v>
      </c>
      <c r="J33" s="30"/>
      <c r="K33" s="36" t="s">
        <v>10</v>
      </c>
      <c r="L33" s="49"/>
    </row>
    <row r="34" spans="1:12" ht="13.2" hidden="1">
      <c r="A34" s="19" t="s">
        <v>262</v>
      </c>
      <c r="B34" s="19">
        <v>1</v>
      </c>
      <c r="C34" s="22" t="s">
        <v>257</v>
      </c>
      <c r="D34" s="15">
        <v>1</v>
      </c>
      <c r="E34" s="50" t="s">
        <v>263</v>
      </c>
      <c r="F34" s="15" t="s">
        <v>52</v>
      </c>
      <c r="G34" s="15" t="s">
        <v>46</v>
      </c>
      <c r="H34" s="51">
        <v>1</v>
      </c>
      <c r="I34" s="51">
        <v>0.5</v>
      </c>
      <c r="J34" s="29"/>
      <c r="K34" s="15" t="s">
        <v>10</v>
      </c>
      <c r="L34" s="52"/>
    </row>
    <row r="35" spans="1:12" ht="13.2" hidden="1">
      <c r="A35" s="24" t="s">
        <v>264</v>
      </c>
      <c r="B35" s="24">
        <v>1</v>
      </c>
      <c r="C35" s="27" t="s">
        <v>257</v>
      </c>
      <c r="D35" s="36">
        <v>1</v>
      </c>
      <c r="E35" s="47" t="s">
        <v>265</v>
      </c>
      <c r="F35" s="36" t="s">
        <v>52</v>
      </c>
      <c r="G35" s="36" t="s">
        <v>46</v>
      </c>
      <c r="H35" s="48">
        <v>2</v>
      </c>
      <c r="I35" s="48">
        <v>3</v>
      </c>
      <c r="J35" s="30"/>
      <c r="K35" s="36" t="s">
        <v>10</v>
      </c>
      <c r="L35" s="49"/>
    </row>
    <row r="36" spans="1:12" ht="13.2" hidden="1">
      <c r="A36" s="19" t="s">
        <v>266</v>
      </c>
      <c r="B36" s="19">
        <v>1</v>
      </c>
      <c r="C36" s="22" t="s">
        <v>257</v>
      </c>
      <c r="D36" s="15">
        <v>1</v>
      </c>
      <c r="E36" s="50" t="s">
        <v>267</v>
      </c>
      <c r="F36" s="15" t="s">
        <v>52</v>
      </c>
      <c r="G36" s="15" t="s">
        <v>46</v>
      </c>
      <c r="H36" s="51">
        <v>2.5</v>
      </c>
      <c r="I36" s="51">
        <v>3</v>
      </c>
      <c r="J36" s="29"/>
      <c r="K36" s="15" t="s">
        <v>10</v>
      </c>
      <c r="L36" s="52"/>
    </row>
    <row r="37" spans="1:12" ht="13.2" hidden="1">
      <c r="A37" s="24" t="s">
        <v>268</v>
      </c>
      <c r="B37" s="24">
        <v>1</v>
      </c>
      <c r="C37" s="27" t="s">
        <v>257</v>
      </c>
      <c r="D37" s="36">
        <v>1</v>
      </c>
      <c r="E37" s="47" t="s">
        <v>269</v>
      </c>
      <c r="F37" s="36" t="s">
        <v>52</v>
      </c>
      <c r="G37" s="36" t="s">
        <v>46</v>
      </c>
      <c r="H37" s="48">
        <v>1.5</v>
      </c>
      <c r="I37" s="48">
        <v>1</v>
      </c>
      <c r="J37" s="30"/>
      <c r="K37" s="36" t="s">
        <v>10</v>
      </c>
      <c r="L37" s="49"/>
    </row>
    <row r="38" spans="1:12" ht="13.2" hidden="1">
      <c r="A38" s="19" t="s">
        <v>270</v>
      </c>
      <c r="B38" s="19">
        <v>1</v>
      </c>
      <c r="C38" s="22" t="s">
        <v>257</v>
      </c>
      <c r="D38" s="15">
        <v>1</v>
      </c>
      <c r="E38" s="50" t="s">
        <v>271</v>
      </c>
      <c r="F38" s="15" t="s">
        <v>59</v>
      </c>
      <c r="G38" s="15" t="s">
        <v>63</v>
      </c>
      <c r="H38" s="51">
        <v>2</v>
      </c>
      <c r="I38" s="51">
        <v>2.5</v>
      </c>
      <c r="J38" s="29"/>
      <c r="K38" s="15" t="s">
        <v>10</v>
      </c>
      <c r="L38" s="52"/>
    </row>
    <row r="39" spans="1:12" ht="13.2" hidden="1">
      <c r="A39" s="24" t="s">
        <v>272</v>
      </c>
      <c r="B39" s="24">
        <v>1</v>
      </c>
      <c r="C39" s="27" t="s">
        <v>257</v>
      </c>
      <c r="D39" s="36">
        <v>1</v>
      </c>
      <c r="E39" s="47" t="s">
        <v>273</v>
      </c>
      <c r="F39" s="36" t="s">
        <v>63</v>
      </c>
      <c r="G39" s="36" t="s">
        <v>59</v>
      </c>
      <c r="H39" s="48">
        <v>1.5</v>
      </c>
      <c r="I39" s="48">
        <v>2</v>
      </c>
      <c r="J39" s="30"/>
      <c r="K39" s="36" t="s">
        <v>10</v>
      </c>
      <c r="L39" s="49"/>
    </row>
    <row r="40" spans="1:12" ht="13.2" hidden="1">
      <c r="A40" s="19" t="s">
        <v>274</v>
      </c>
      <c r="B40" s="19">
        <v>1</v>
      </c>
      <c r="C40" s="22" t="s">
        <v>257</v>
      </c>
      <c r="D40" s="15">
        <v>1</v>
      </c>
      <c r="E40" s="50" t="s">
        <v>275</v>
      </c>
      <c r="F40" s="15" t="s">
        <v>63</v>
      </c>
      <c r="G40" s="15" t="s">
        <v>59</v>
      </c>
      <c r="H40" s="51">
        <v>1</v>
      </c>
      <c r="I40" s="51">
        <v>1</v>
      </c>
      <c r="J40" s="29"/>
      <c r="K40" s="15" t="s">
        <v>10</v>
      </c>
      <c r="L40" s="52"/>
    </row>
    <row r="41" spans="1:12" ht="13.2" hidden="1">
      <c r="A41" s="24" t="s">
        <v>276</v>
      </c>
      <c r="B41" s="24">
        <v>1</v>
      </c>
      <c r="C41" s="27" t="s">
        <v>257</v>
      </c>
      <c r="D41" s="36">
        <v>1</v>
      </c>
      <c r="E41" s="47" t="s">
        <v>277</v>
      </c>
      <c r="F41" s="36" t="s">
        <v>59</v>
      </c>
      <c r="G41" s="36" t="s">
        <v>63</v>
      </c>
      <c r="H41" s="48">
        <v>1</v>
      </c>
      <c r="I41" s="48">
        <v>0.5</v>
      </c>
      <c r="J41" s="30"/>
      <c r="K41" s="36" t="s">
        <v>10</v>
      </c>
      <c r="L41" s="49"/>
    </row>
    <row r="42" spans="1:12" ht="13.2" hidden="1">
      <c r="A42" s="19" t="s">
        <v>65</v>
      </c>
      <c r="B42" s="19">
        <v>2</v>
      </c>
      <c r="C42" s="22" t="s">
        <v>83</v>
      </c>
      <c r="D42" s="15">
        <v>1</v>
      </c>
      <c r="E42" s="50" t="s">
        <v>278</v>
      </c>
      <c r="F42" s="15" t="s">
        <v>53</v>
      </c>
      <c r="G42" s="15" t="s">
        <v>66</v>
      </c>
      <c r="H42" s="23">
        <v>2</v>
      </c>
      <c r="I42" s="23">
        <f>SUMIF(Task_hours!A$4:A$997, A42, Task_hours!H$4:H$997)</f>
        <v>10</v>
      </c>
      <c r="J42" s="29"/>
      <c r="K42" s="15" t="s">
        <v>10</v>
      </c>
      <c r="L42" s="52"/>
    </row>
    <row r="43" spans="1:12" ht="13.2" hidden="1">
      <c r="A43" s="24" t="s">
        <v>60</v>
      </c>
      <c r="B43" s="36">
        <v>2</v>
      </c>
      <c r="C43" s="27" t="s">
        <v>83</v>
      </c>
      <c r="D43" s="36">
        <v>1</v>
      </c>
      <c r="E43" s="47" t="s">
        <v>279</v>
      </c>
      <c r="F43" s="36" t="s">
        <v>46</v>
      </c>
      <c r="G43" s="36" t="s">
        <v>45</v>
      </c>
      <c r="H43" s="28">
        <v>1</v>
      </c>
      <c r="I43" s="28">
        <f>SUMIF(Task_hours!A$4:A$997, A43, Task_hours!H$4:H$997)</f>
        <v>1.5</v>
      </c>
      <c r="J43" s="30"/>
      <c r="K43" s="36" t="s">
        <v>10</v>
      </c>
      <c r="L43" s="49"/>
    </row>
    <row r="44" spans="1:12" ht="13.2" hidden="1">
      <c r="A44" s="19" t="s">
        <v>44</v>
      </c>
      <c r="B44" s="15">
        <v>2</v>
      </c>
      <c r="C44" s="22" t="s">
        <v>83</v>
      </c>
      <c r="D44" s="15">
        <v>1</v>
      </c>
      <c r="E44" s="50" t="s">
        <v>280</v>
      </c>
      <c r="F44" s="15" t="s">
        <v>46</v>
      </c>
      <c r="G44" s="15" t="s">
        <v>45</v>
      </c>
      <c r="H44" s="23">
        <v>2</v>
      </c>
      <c r="I44" s="23">
        <f>SUMIF(Task_hours!A$4:A$997, A44, Task_hours!H$4:H$997)</f>
        <v>2.5</v>
      </c>
      <c r="J44" s="29"/>
      <c r="K44" s="15" t="s">
        <v>10</v>
      </c>
      <c r="L44" s="52"/>
    </row>
    <row r="45" spans="1:12" ht="13.2" hidden="1">
      <c r="A45" s="24" t="s">
        <v>61</v>
      </c>
      <c r="B45" s="24">
        <v>2</v>
      </c>
      <c r="C45" s="27" t="s">
        <v>83</v>
      </c>
      <c r="D45" s="36">
        <v>1</v>
      </c>
      <c r="E45" s="47" t="s">
        <v>281</v>
      </c>
      <c r="F45" s="36" t="s">
        <v>45</v>
      </c>
      <c r="G45" s="36" t="s">
        <v>46</v>
      </c>
      <c r="H45" s="28">
        <v>1</v>
      </c>
      <c r="I45" s="28">
        <f>SUMIF(Task_hours!A$4:A$997, A45, Task_hours!H$4:H$997)</f>
        <v>0.5</v>
      </c>
      <c r="J45" s="30"/>
      <c r="K45" s="36" t="s">
        <v>10</v>
      </c>
      <c r="L45" s="49" t="s">
        <v>282</v>
      </c>
    </row>
    <row r="46" spans="1:12" ht="13.2" hidden="1">
      <c r="A46" s="19" t="s">
        <v>64</v>
      </c>
      <c r="B46" s="19">
        <v>2</v>
      </c>
      <c r="C46" s="22" t="s">
        <v>83</v>
      </c>
      <c r="D46" s="15">
        <v>1</v>
      </c>
      <c r="E46" s="50" t="s">
        <v>283</v>
      </c>
      <c r="F46" s="15" t="s">
        <v>45</v>
      </c>
      <c r="G46" s="15" t="s">
        <v>46</v>
      </c>
      <c r="H46" s="23">
        <v>2</v>
      </c>
      <c r="I46" s="23">
        <f>SUMIF(Task_hours!A$4:A$997, A46, Task_hours!H$4:H$997)</f>
        <v>2</v>
      </c>
      <c r="J46" s="29"/>
      <c r="K46" s="15" t="s">
        <v>10</v>
      </c>
      <c r="L46" s="52"/>
    </row>
    <row r="47" spans="1:12" ht="13.2" hidden="1">
      <c r="A47" s="24" t="s">
        <v>74</v>
      </c>
      <c r="B47" s="24">
        <v>2</v>
      </c>
      <c r="C47" s="27" t="s">
        <v>83</v>
      </c>
      <c r="D47" s="36">
        <v>1</v>
      </c>
      <c r="E47" s="47" t="s">
        <v>284</v>
      </c>
      <c r="F47" s="36" t="s">
        <v>45</v>
      </c>
      <c r="G47" s="36" t="s">
        <v>46</v>
      </c>
      <c r="H47" s="28">
        <v>2</v>
      </c>
      <c r="I47" s="28">
        <f>SUMIF(Task_hours!A$4:A$997, A47, Task_hours!H$4:H$997)</f>
        <v>1</v>
      </c>
      <c r="J47" s="30"/>
      <c r="K47" s="36" t="s">
        <v>10</v>
      </c>
      <c r="L47" s="49" t="s">
        <v>282</v>
      </c>
    </row>
    <row r="48" spans="1:12" ht="13.2" hidden="1">
      <c r="A48" s="19" t="s">
        <v>75</v>
      </c>
      <c r="B48" s="53">
        <v>2</v>
      </c>
      <c r="C48" s="54" t="s">
        <v>83</v>
      </c>
      <c r="D48" s="55">
        <v>1</v>
      </c>
      <c r="E48" s="56" t="s">
        <v>285</v>
      </c>
      <c r="F48" s="55" t="s">
        <v>45</v>
      </c>
      <c r="G48" s="55" t="s">
        <v>46</v>
      </c>
      <c r="H48" s="57">
        <v>1</v>
      </c>
      <c r="I48" s="23">
        <f>SUMIF(Task_hours!A$4:A$997, A48, Task_hours!H$4:H$997)</f>
        <v>0.5</v>
      </c>
      <c r="J48" s="58"/>
      <c r="K48" s="55" t="s">
        <v>10</v>
      </c>
      <c r="L48" s="59"/>
    </row>
    <row r="49" spans="1:12" ht="13.2" hidden="1">
      <c r="A49" s="24" t="s">
        <v>76</v>
      </c>
      <c r="B49" s="60">
        <v>2</v>
      </c>
      <c r="C49" s="61" t="s">
        <v>83</v>
      </c>
      <c r="D49" s="41">
        <v>1</v>
      </c>
      <c r="E49" s="62" t="s">
        <v>286</v>
      </c>
      <c r="F49" s="41" t="s">
        <v>46</v>
      </c>
      <c r="G49" s="41" t="s">
        <v>45</v>
      </c>
      <c r="H49" s="63">
        <v>2</v>
      </c>
      <c r="I49" s="28">
        <f>SUMIF(Task_hours!A$4:A$997, A49, Task_hours!H$4:H$997)</f>
        <v>0.5</v>
      </c>
      <c r="J49" s="64"/>
      <c r="K49" s="41" t="s">
        <v>10</v>
      </c>
      <c r="L49" s="65"/>
    </row>
    <row r="50" spans="1:12" ht="13.8" hidden="1">
      <c r="A50" s="19" t="s">
        <v>77</v>
      </c>
      <c r="B50" s="15">
        <v>2</v>
      </c>
      <c r="C50" s="22" t="s">
        <v>83</v>
      </c>
      <c r="D50" s="15">
        <v>1</v>
      </c>
      <c r="E50" s="50" t="s">
        <v>287</v>
      </c>
      <c r="F50" s="66" t="s">
        <v>46</v>
      </c>
      <c r="G50" s="15" t="s">
        <v>45</v>
      </c>
      <c r="H50" s="23">
        <v>3</v>
      </c>
      <c r="I50" s="23">
        <f>SUMIF(Task_hours!A$4:A$997, A50, Task_hours!H$4:H$997)</f>
        <v>0.5</v>
      </c>
      <c r="J50" s="29"/>
      <c r="K50" s="15" t="s">
        <v>10</v>
      </c>
      <c r="L50" s="52"/>
    </row>
    <row r="51" spans="1:12" ht="13.2" hidden="1">
      <c r="A51" s="24" t="s">
        <v>62</v>
      </c>
      <c r="B51" s="36">
        <v>2</v>
      </c>
      <c r="C51" s="27" t="s">
        <v>83</v>
      </c>
      <c r="D51" s="36">
        <v>1</v>
      </c>
      <c r="E51" s="47" t="s">
        <v>288</v>
      </c>
      <c r="F51" s="36" t="s">
        <v>63</v>
      </c>
      <c r="G51" s="36" t="s">
        <v>49</v>
      </c>
      <c r="H51" s="28">
        <v>3</v>
      </c>
      <c r="I51" s="28">
        <f>SUMIF(Task_hours!A$4:A$997, A51, Task_hours!H$4:H$997)</f>
        <v>2.5</v>
      </c>
      <c r="J51" s="36"/>
      <c r="K51" s="36" t="s">
        <v>10</v>
      </c>
      <c r="L51" s="49"/>
    </row>
    <row r="52" spans="1:12" ht="13.2" hidden="1">
      <c r="A52" s="19" t="s">
        <v>87</v>
      </c>
      <c r="B52" s="15">
        <v>2</v>
      </c>
      <c r="C52" s="22" t="s">
        <v>83</v>
      </c>
      <c r="D52" s="15">
        <v>1</v>
      </c>
      <c r="E52" s="50" t="s">
        <v>289</v>
      </c>
      <c r="F52" s="15" t="s">
        <v>63</v>
      </c>
      <c r="G52" s="15" t="s">
        <v>49</v>
      </c>
      <c r="H52" s="23">
        <v>3</v>
      </c>
      <c r="I52" s="23">
        <f>SUMIF(Task_hours!A$4:A$997, A52, Task_hours!H$4:H$997)</f>
        <v>1</v>
      </c>
      <c r="J52" s="15"/>
      <c r="K52" s="15" t="s">
        <v>10</v>
      </c>
      <c r="L52" s="52"/>
    </row>
    <row r="53" spans="1:12" ht="13.2" hidden="1">
      <c r="A53" s="24" t="s">
        <v>99</v>
      </c>
      <c r="B53" s="36">
        <v>2</v>
      </c>
      <c r="C53" s="27" t="s">
        <v>83</v>
      </c>
      <c r="D53" s="36">
        <v>1</v>
      </c>
      <c r="E53" s="47" t="s">
        <v>290</v>
      </c>
      <c r="F53" s="36" t="s">
        <v>45</v>
      </c>
      <c r="G53" s="36" t="s">
        <v>56</v>
      </c>
      <c r="H53" s="28">
        <v>4</v>
      </c>
      <c r="I53" s="28">
        <f>SUMIF(Task_hours!A$4:A$997, A53, Task_hours!H$4:H$997)</f>
        <v>3.5</v>
      </c>
      <c r="J53" s="36"/>
      <c r="K53" s="36" t="s">
        <v>10</v>
      </c>
      <c r="L53" s="49"/>
    </row>
    <row r="54" spans="1:12" ht="13.2" hidden="1">
      <c r="A54" s="19" t="s">
        <v>95</v>
      </c>
      <c r="B54" s="53">
        <v>2</v>
      </c>
      <c r="C54" s="54" t="s">
        <v>83</v>
      </c>
      <c r="D54" s="55">
        <v>1</v>
      </c>
      <c r="E54" s="56" t="s">
        <v>291</v>
      </c>
      <c r="F54" s="55" t="s">
        <v>63</v>
      </c>
      <c r="G54" s="55" t="s">
        <v>53</v>
      </c>
      <c r="H54" s="57">
        <v>1</v>
      </c>
      <c r="I54" s="23">
        <f>SUMIF(Task_hours!A$4:A$997, A54, Task_hours!H$4:H$997)</f>
        <v>0.5</v>
      </c>
      <c r="J54" s="58"/>
      <c r="K54" s="55" t="s">
        <v>10</v>
      </c>
      <c r="L54" s="52"/>
    </row>
    <row r="55" spans="1:12" ht="26.4" hidden="1">
      <c r="A55" s="24" t="s">
        <v>47</v>
      </c>
      <c r="B55" s="60">
        <v>2</v>
      </c>
      <c r="C55" s="61" t="s">
        <v>83</v>
      </c>
      <c r="D55" s="41">
        <v>1</v>
      </c>
      <c r="E55" s="62" t="s">
        <v>292</v>
      </c>
      <c r="F55" s="41" t="s">
        <v>46</v>
      </c>
      <c r="G55" s="41" t="s">
        <v>45</v>
      </c>
      <c r="H55" s="63">
        <v>2</v>
      </c>
      <c r="I55" s="28">
        <f>SUMIF(Task_hours!A$4:A$997, A55, Task_hours!H$4:H$997)</f>
        <v>1</v>
      </c>
      <c r="J55" s="64"/>
      <c r="K55" s="41" t="s">
        <v>10</v>
      </c>
      <c r="L55" s="49" t="s">
        <v>293</v>
      </c>
    </row>
    <row r="56" spans="1:12" ht="13.2" hidden="1">
      <c r="A56" s="19" t="s">
        <v>72</v>
      </c>
      <c r="B56" s="53">
        <v>2</v>
      </c>
      <c r="C56" s="54" t="s">
        <v>83</v>
      </c>
      <c r="D56" s="55">
        <v>1</v>
      </c>
      <c r="E56" s="56" t="s">
        <v>294</v>
      </c>
      <c r="F56" s="55" t="s">
        <v>45</v>
      </c>
      <c r="G56" s="55" t="s">
        <v>46</v>
      </c>
      <c r="H56" s="57">
        <v>1</v>
      </c>
      <c r="I56" s="23">
        <f>SUMIF(Task_hours!A$4:A$997, A56, Task_hours!H$4:H$997)</f>
        <v>0.5</v>
      </c>
      <c r="J56" s="58"/>
      <c r="K56" s="55" t="s">
        <v>10</v>
      </c>
      <c r="L56" s="52"/>
    </row>
    <row r="57" spans="1:12" ht="13.2" hidden="1">
      <c r="A57" s="24" t="s">
        <v>73</v>
      </c>
      <c r="B57" s="60">
        <v>2</v>
      </c>
      <c r="C57" s="61" t="s">
        <v>83</v>
      </c>
      <c r="D57" s="41">
        <v>1</v>
      </c>
      <c r="E57" s="62" t="s">
        <v>295</v>
      </c>
      <c r="F57" s="41" t="s">
        <v>45</v>
      </c>
      <c r="G57" s="41" t="s">
        <v>46</v>
      </c>
      <c r="H57" s="63">
        <v>1</v>
      </c>
      <c r="I57" s="28">
        <f>SUMIF(Task_hours!A$4:A$997, A57, Task_hours!H$4:H$997)</f>
        <v>0.5</v>
      </c>
      <c r="J57" s="64"/>
      <c r="K57" s="41" t="s">
        <v>10</v>
      </c>
      <c r="L57" s="49"/>
    </row>
    <row r="58" spans="1:12" ht="13.2" hidden="1">
      <c r="A58" s="19" t="s">
        <v>78</v>
      </c>
      <c r="B58" s="53">
        <v>2</v>
      </c>
      <c r="C58" s="54" t="s">
        <v>83</v>
      </c>
      <c r="D58" s="55">
        <v>1</v>
      </c>
      <c r="E58" s="56" t="s">
        <v>296</v>
      </c>
      <c r="F58" s="55" t="s">
        <v>49</v>
      </c>
      <c r="G58" s="55" t="s">
        <v>45</v>
      </c>
      <c r="H58" s="57">
        <v>2</v>
      </c>
      <c r="I58" s="23">
        <f>SUMIF(Task_hours!A$4:A$997, A58, Task_hours!H$4:H$997)</f>
        <v>1</v>
      </c>
      <c r="J58" s="58"/>
      <c r="K58" s="55" t="s">
        <v>10</v>
      </c>
      <c r="L58" s="52"/>
    </row>
    <row r="59" spans="1:12" ht="13.2" hidden="1">
      <c r="A59" s="24" t="s">
        <v>97</v>
      </c>
      <c r="B59" s="60">
        <v>2</v>
      </c>
      <c r="C59" s="61" t="s">
        <v>83</v>
      </c>
      <c r="D59" s="41">
        <v>2</v>
      </c>
      <c r="E59" s="62" t="s">
        <v>297</v>
      </c>
      <c r="F59" s="41" t="s">
        <v>52</v>
      </c>
      <c r="G59" s="41"/>
      <c r="H59" s="63">
        <v>2</v>
      </c>
      <c r="I59" s="28">
        <f>SUMIF(Task_hours!A$4:A$997, A59, Task_hours!H$4:H$997)</f>
        <v>2.5</v>
      </c>
      <c r="J59" s="64"/>
      <c r="K59" s="41" t="s">
        <v>10</v>
      </c>
      <c r="L59" s="49"/>
    </row>
    <row r="60" spans="1:12" ht="13.2" hidden="1">
      <c r="A60" s="19" t="s">
        <v>79</v>
      </c>
      <c r="B60" s="53">
        <v>2</v>
      </c>
      <c r="C60" s="54" t="s">
        <v>83</v>
      </c>
      <c r="D60" s="55">
        <v>1</v>
      </c>
      <c r="E60" s="56" t="s">
        <v>298</v>
      </c>
      <c r="F60" s="55" t="s">
        <v>45</v>
      </c>
      <c r="G60" s="55" t="s">
        <v>49</v>
      </c>
      <c r="H60" s="57">
        <v>2</v>
      </c>
      <c r="I60" s="23">
        <f>SUMIF(Task_hours!A$4:A$997, A60, Task_hours!H$4:H$997)</f>
        <v>0.5</v>
      </c>
      <c r="J60" s="58"/>
      <c r="K60" s="55" t="s">
        <v>10</v>
      </c>
      <c r="L60" s="52"/>
    </row>
    <row r="61" spans="1:12" ht="13.2" hidden="1">
      <c r="A61" s="24" t="s">
        <v>81</v>
      </c>
      <c r="B61" s="60">
        <v>2</v>
      </c>
      <c r="C61" s="61" t="s">
        <v>83</v>
      </c>
      <c r="D61" s="41">
        <v>1</v>
      </c>
      <c r="E61" s="62" t="s">
        <v>299</v>
      </c>
      <c r="F61" s="41" t="s">
        <v>56</v>
      </c>
      <c r="G61" s="41" t="s">
        <v>53</v>
      </c>
      <c r="H61" s="63">
        <v>1.5</v>
      </c>
      <c r="I61" s="28">
        <f>SUMIF(Task_hours!A$4:A$997, A61, Task_hours!H$4:H$997)</f>
        <v>1</v>
      </c>
      <c r="J61" s="64"/>
      <c r="K61" s="41" t="s">
        <v>10</v>
      </c>
      <c r="L61" s="49"/>
    </row>
    <row r="62" spans="1:12" ht="13.2" hidden="1">
      <c r="A62" s="19" t="s">
        <v>82</v>
      </c>
      <c r="B62" s="53">
        <v>2</v>
      </c>
      <c r="C62" s="54" t="s">
        <v>83</v>
      </c>
      <c r="D62" s="55">
        <v>1</v>
      </c>
      <c r="E62" s="56" t="s">
        <v>84</v>
      </c>
      <c r="F62" s="55" t="s">
        <v>53</v>
      </c>
      <c r="G62" s="55" t="s">
        <v>56</v>
      </c>
      <c r="H62" s="57">
        <v>1</v>
      </c>
      <c r="I62" s="23">
        <f>SUMIF(Task_hours!A$4:A$997, A62, Task_hours!H$4:H$997)</f>
        <v>1</v>
      </c>
      <c r="J62" s="58"/>
      <c r="K62" s="55" t="s">
        <v>10</v>
      </c>
      <c r="L62" s="52"/>
    </row>
    <row r="63" spans="1:12" ht="13.2" hidden="1">
      <c r="A63" s="24" t="s">
        <v>85</v>
      </c>
      <c r="B63" s="60">
        <v>2</v>
      </c>
      <c r="C63" s="61" t="s">
        <v>83</v>
      </c>
      <c r="D63" s="41">
        <v>1</v>
      </c>
      <c r="E63" s="62" t="s">
        <v>300</v>
      </c>
      <c r="F63" s="41" t="s">
        <v>53</v>
      </c>
      <c r="G63" s="41" t="s">
        <v>56</v>
      </c>
      <c r="H63" s="63">
        <v>2</v>
      </c>
      <c r="I63" s="28">
        <f>SUMIF(Task_hours!A$4:A$997, A63, Task_hours!H$4:H$997)</f>
        <v>2</v>
      </c>
      <c r="J63" s="64"/>
      <c r="K63" s="41" t="s">
        <v>10</v>
      </c>
      <c r="L63" s="49"/>
    </row>
    <row r="64" spans="1:12" ht="13.2" hidden="1">
      <c r="A64" s="15" t="s">
        <v>301</v>
      </c>
      <c r="B64" s="15">
        <v>2</v>
      </c>
      <c r="C64" s="22" t="s">
        <v>83</v>
      </c>
      <c r="D64" s="15">
        <v>2</v>
      </c>
      <c r="E64" s="50" t="s">
        <v>302</v>
      </c>
      <c r="F64" s="15" t="s">
        <v>46</v>
      </c>
      <c r="G64" s="15" t="s">
        <v>45</v>
      </c>
      <c r="H64" s="23">
        <v>0.5</v>
      </c>
      <c r="I64" s="23">
        <f>SUMIF(Task_hours!A$4:A$997, A64, Task_hours!H$4:H$997)</f>
        <v>0</v>
      </c>
      <c r="J64" s="15"/>
      <c r="K64" s="15" t="s">
        <v>10</v>
      </c>
      <c r="L64" s="52"/>
    </row>
    <row r="65" spans="1:12" ht="13.2" hidden="1">
      <c r="A65" s="36" t="s">
        <v>86</v>
      </c>
      <c r="B65" s="36">
        <v>2</v>
      </c>
      <c r="C65" s="27" t="s">
        <v>83</v>
      </c>
      <c r="D65" s="36">
        <v>1</v>
      </c>
      <c r="E65" s="47" t="s">
        <v>303</v>
      </c>
      <c r="F65" s="36" t="s">
        <v>49</v>
      </c>
      <c r="G65" s="36" t="s">
        <v>56</v>
      </c>
      <c r="H65" s="28">
        <v>1</v>
      </c>
      <c r="I65" s="28">
        <f>SUMIF(Task_hours!A$4:A$997, A65, Task_hours!H$4:H$997)</f>
        <v>0.5</v>
      </c>
      <c r="J65" s="36"/>
      <c r="K65" s="36" t="s">
        <v>10</v>
      </c>
      <c r="L65" s="49"/>
    </row>
    <row r="66" spans="1:12" ht="13.2" hidden="1">
      <c r="A66" s="15" t="s">
        <v>92</v>
      </c>
      <c r="B66" s="15">
        <v>2</v>
      </c>
      <c r="C66" s="22" t="s">
        <v>83</v>
      </c>
      <c r="D66" s="15">
        <v>1</v>
      </c>
      <c r="E66" s="50" t="s">
        <v>304</v>
      </c>
      <c r="F66" s="15" t="s">
        <v>49</v>
      </c>
      <c r="G66" s="15" t="s">
        <v>52</v>
      </c>
      <c r="H66" s="23">
        <v>2</v>
      </c>
      <c r="I66" s="23">
        <f>SUMIF(Task_hours!A$4:A$997, A66, Task_hours!H$4:H$997)</f>
        <v>3</v>
      </c>
      <c r="J66" s="15"/>
      <c r="K66" s="15" t="s">
        <v>10</v>
      </c>
      <c r="L66" s="52"/>
    </row>
    <row r="67" spans="1:12" ht="13.2" hidden="1">
      <c r="A67" s="36" t="s">
        <v>100</v>
      </c>
      <c r="B67" s="36">
        <v>2</v>
      </c>
      <c r="C67" s="27" t="s">
        <v>83</v>
      </c>
      <c r="D67" s="36">
        <v>1</v>
      </c>
      <c r="E67" s="47" t="s">
        <v>305</v>
      </c>
      <c r="F67" s="36" t="s">
        <v>53</v>
      </c>
      <c r="G67" s="36"/>
      <c r="H67" s="28">
        <v>0.5</v>
      </c>
      <c r="I67" s="28">
        <f>SUMIF(Task_hours!A$4:A$997, A67, Task_hours!H$4:H$997)</f>
        <v>0.5</v>
      </c>
      <c r="J67" s="36"/>
      <c r="K67" s="36" t="s">
        <v>10</v>
      </c>
      <c r="L67" s="49"/>
    </row>
    <row r="68" spans="1:12" ht="13.2" hidden="1">
      <c r="A68" s="15" t="s">
        <v>101</v>
      </c>
      <c r="B68" s="15">
        <v>2</v>
      </c>
      <c r="C68" s="22" t="s">
        <v>83</v>
      </c>
      <c r="D68" s="15">
        <v>1</v>
      </c>
      <c r="E68" s="50" t="s">
        <v>306</v>
      </c>
      <c r="F68" s="15" t="s">
        <v>49</v>
      </c>
      <c r="G68" s="15"/>
      <c r="H68" s="23">
        <v>3</v>
      </c>
      <c r="I68" s="23">
        <f>SUMIF(Task_hours!A$4:A$997, A68, Task_hours!H$4:H$997)</f>
        <v>2.5</v>
      </c>
      <c r="J68" s="15"/>
      <c r="K68" s="15" t="s">
        <v>10</v>
      </c>
      <c r="L68" s="52"/>
    </row>
    <row r="69" spans="1:12" ht="13.2" hidden="1">
      <c r="A69" s="36" t="s">
        <v>58</v>
      </c>
      <c r="B69" s="36">
        <v>2</v>
      </c>
      <c r="C69" s="27" t="s">
        <v>307</v>
      </c>
      <c r="D69" s="36">
        <v>1</v>
      </c>
      <c r="E69" s="47" t="s">
        <v>308</v>
      </c>
      <c r="F69" s="36" t="s">
        <v>49</v>
      </c>
      <c r="G69" s="36" t="s">
        <v>59</v>
      </c>
      <c r="H69" s="28">
        <v>8</v>
      </c>
      <c r="I69" s="28">
        <f>SUMIF(Task_hours!A$4:A$997, A69, Task_hours!H$4:H$997)</f>
        <v>3</v>
      </c>
      <c r="J69" s="36"/>
      <c r="K69" s="36" t="s">
        <v>10</v>
      </c>
      <c r="L69" s="49"/>
    </row>
    <row r="70" spans="1:12" ht="13.2" hidden="1">
      <c r="A70" s="15" t="s">
        <v>91</v>
      </c>
      <c r="B70" s="15">
        <v>2</v>
      </c>
      <c r="C70" s="22" t="s">
        <v>307</v>
      </c>
      <c r="D70" s="15">
        <v>1</v>
      </c>
      <c r="E70" s="50" t="s">
        <v>309</v>
      </c>
      <c r="F70" s="15" t="s">
        <v>59</v>
      </c>
      <c r="G70" s="15" t="s">
        <v>63</v>
      </c>
      <c r="H70" s="23">
        <v>4</v>
      </c>
      <c r="I70" s="23">
        <f>SUMIF(Task_hours!A$4:A$997, A70, Task_hours!H$4:H$997)</f>
        <v>4.5</v>
      </c>
      <c r="J70" s="15"/>
      <c r="K70" s="15" t="s">
        <v>10</v>
      </c>
      <c r="L70" s="52"/>
    </row>
    <row r="71" spans="1:12" ht="13.2" hidden="1">
      <c r="A71" s="36" t="s">
        <v>94</v>
      </c>
      <c r="B71" s="36">
        <v>2</v>
      </c>
      <c r="C71" s="27" t="s">
        <v>307</v>
      </c>
      <c r="D71" s="36">
        <v>1</v>
      </c>
      <c r="E71" s="47" t="s">
        <v>310</v>
      </c>
      <c r="F71" s="36" t="s">
        <v>52</v>
      </c>
      <c r="G71" s="36" t="s">
        <v>56</v>
      </c>
      <c r="H71" s="28">
        <v>1</v>
      </c>
      <c r="I71" s="28">
        <f>SUMIF(Task_hours!A$4:A$997, A71, Task_hours!H$4:H$997)</f>
        <v>0.5</v>
      </c>
      <c r="J71" s="36"/>
      <c r="K71" s="36" t="s">
        <v>10</v>
      </c>
      <c r="L71" s="49"/>
    </row>
    <row r="72" spans="1:12" ht="13.2" hidden="1">
      <c r="A72" s="15" t="s">
        <v>69</v>
      </c>
      <c r="B72" s="15">
        <v>2</v>
      </c>
      <c r="C72" s="22" t="s">
        <v>311</v>
      </c>
      <c r="D72" s="15">
        <v>2</v>
      </c>
      <c r="E72" s="50" t="s">
        <v>312</v>
      </c>
      <c r="F72" s="15" t="s">
        <v>70</v>
      </c>
      <c r="G72" s="15" t="s">
        <v>52</v>
      </c>
      <c r="H72" s="23">
        <v>8</v>
      </c>
      <c r="I72" s="23">
        <f>SUMIF(Task_hours!A$4:A$997, A72, Task_hours!H$4:H$997)</f>
        <v>6</v>
      </c>
      <c r="J72" s="15"/>
      <c r="K72" s="15" t="s">
        <v>10</v>
      </c>
      <c r="L72" s="52"/>
    </row>
    <row r="73" spans="1:12" ht="13.2" hidden="1">
      <c r="A73" s="36" t="s">
        <v>71</v>
      </c>
      <c r="B73" s="36">
        <v>2</v>
      </c>
      <c r="C73" s="27" t="s">
        <v>311</v>
      </c>
      <c r="D73" s="36">
        <v>2</v>
      </c>
      <c r="E73" s="47" t="s">
        <v>313</v>
      </c>
      <c r="F73" s="36" t="s">
        <v>70</v>
      </c>
      <c r="G73" s="36" t="s">
        <v>52</v>
      </c>
      <c r="H73" s="28">
        <v>8</v>
      </c>
      <c r="I73" s="28">
        <f>SUMIF(Task_hours!A$4:A$997, A73, Task_hours!H$4:H$997)</f>
        <v>4</v>
      </c>
      <c r="J73" s="36"/>
      <c r="K73" s="36" t="s">
        <v>10</v>
      </c>
      <c r="L73" s="49"/>
    </row>
    <row r="74" spans="1:12" ht="13.2" hidden="1">
      <c r="A74" s="15" t="s">
        <v>93</v>
      </c>
      <c r="B74" s="15">
        <v>2</v>
      </c>
      <c r="C74" s="22" t="s">
        <v>311</v>
      </c>
      <c r="D74" s="15">
        <v>1</v>
      </c>
      <c r="E74" s="50" t="s">
        <v>314</v>
      </c>
      <c r="F74" s="15" t="s">
        <v>52</v>
      </c>
      <c r="G74" s="15" t="s">
        <v>49</v>
      </c>
      <c r="H74" s="23">
        <v>4</v>
      </c>
      <c r="I74" s="23">
        <f>SUMIF(Task_hours!A$4:A$997, A74, Task_hours!H$4:H$997)</f>
        <v>4</v>
      </c>
      <c r="J74" s="15"/>
      <c r="K74" s="15" t="s">
        <v>10</v>
      </c>
      <c r="L74" s="52"/>
    </row>
    <row r="75" spans="1:12" ht="13.2" hidden="1">
      <c r="A75" s="36" t="s">
        <v>80</v>
      </c>
      <c r="B75" s="36">
        <v>2</v>
      </c>
      <c r="C75" s="27" t="s">
        <v>311</v>
      </c>
      <c r="D75" s="36">
        <v>1</v>
      </c>
      <c r="E75" s="47" t="s">
        <v>315</v>
      </c>
      <c r="F75" s="36" t="s">
        <v>52</v>
      </c>
      <c r="G75" s="36" t="s">
        <v>70</v>
      </c>
      <c r="H75" s="28">
        <v>2</v>
      </c>
      <c r="I75" s="28">
        <f>SUMIF(Task_hours!A$4:A$997, A75, Task_hours!H$4:H$997)</f>
        <v>1.5</v>
      </c>
      <c r="J75" s="36"/>
      <c r="K75" s="36" t="s">
        <v>10</v>
      </c>
      <c r="L75" s="49"/>
    </row>
    <row r="76" spans="1:12" ht="13.2" hidden="1">
      <c r="A76" s="15" t="s">
        <v>98</v>
      </c>
      <c r="B76" s="15">
        <v>2</v>
      </c>
      <c r="C76" s="22" t="s">
        <v>311</v>
      </c>
      <c r="D76" s="15">
        <v>1</v>
      </c>
      <c r="E76" s="50" t="s">
        <v>316</v>
      </c>
      <c r="F76" s="15" t="s">
        <v>53</v>
      </c>
      <c r="G76" s="15" t="s">
        <v>63</v>
      </c>
      <c r="H76" s="23">
        <v>4</v>
      </c>
      <c r="I76" s="23">
        <f>SUMIF(Task_hours!A$4:A$997, A76, Task_hours!H$4:H$997)</f>
        <v>4</v>
      </c>
      <c r="J76" s="15"/>
      <c r="K76" s="15" t="s">
        <v>10</v>
      </c>
      <c r="L76" s="52"/>
    </row>
    <row r="77" spans="1:12" ht="13.2" hidden="1">
      <c r="A77" s="36" t="s">
        <v>88</v>
      </c>
      <c r="B77" s="36">
        <v>2</v>
      </c>
      <c r="C77" s="27" t="s">
        <v>311</v>
      </c>
      <c r="D77" s="36">
        <v>2</v>
      </c>
      <c r="E77" s="47" t="s">
        <v>317</v>
      </c>
      <c r="F77" s="36" t="s">
        <v>66</v>
      </c>
      <c r="G77" s="36" t="s">
        <v>63</v>
      </c>
      <c r="H77" s="28">
        <v>1</v>
      </c>
      <c r="I77" s="28">
        <f>SUMIF(Task_hours!A$4:A$997, A77, Task_hours!H$4:H$997)</f>
        <v>1.5</v>
      </c>
      <c r="J77" s="36"/>
      <c r="K77" s="36" t="s">
        <v>10</v>
      </c>
      <c r="L77" s="49"/>
    </row>
    <row r="78" spans="1:12" ht="13.2" hidden="1">
      <c r="A78" s="15" t="s">
        <v>96</v>
      </c>
      <c r="B78" s="15">
        <v>2</v>
      </c>
      <c r="C78" s="22" t="s">
        <v>318</v>
      </c>
      <c r="D78" s="15">
        <v>3</v>
      </c>
      <c r="E78" s="50" t="s">
        <v>319</v>
      </c>
      <c r="F78" s="15" t="s">
        <v>66</v>
      </c>
      <c r="G78" s="15" t="s">
        <v>70</v>
      </c>
      <c r="H78" s="23">
        <v>5</v>
      </c>
      <c r="I78" s="23">
        <f>SUMIF(Task_hours!A$4:A$997, A78, Task_hours!H$4:H$997)</f>
        <v>3.5</v>
      </c>
      <c r="J78" s="15"/>
      <c r="K78" s="15" t="s">
        <v>10</v>
      </c>
      <c r="L78" s="52"/>
    </row>
    <row r="79" spans="1:12" ht="13.2" hidden="1">
      <c r="A79" s="36" t="s">
        <v>54</v>
      </c>
      <c r="B79" s="36">
        <v>2</v>
      </c>
      <c r="C79" s="27" t="s">
        <v>320</v>
      </c>
      <c r="D79" s="36">
        <v>1</v>
      </c>
      <c r="E79" s="47" t="s">
        <v>321</v>
      </c>
      <c r="F79" s="36" t="s">
        <v>52</v>
      </c>
      <c r="G79" s="36" t="s">
        <v>53</v>
      </c>
      <c r="H79" s="28">
        <v>1</v>
      </c>
      <c r="I79" s="28">
        <f>SUMIF(Task_hours!A$4:A$997, A79, Task_hours!H$4:H$997)</f>
        <v>1</v>
      </c>
      <c r="J79" s="36"/>
      <c r="K79" s="36" t="s">
        <v>10</v>
      </c>
      <c r="L79" s="49"/>
    </row>
    <row r="80" spans="1:12" ht="13.2" hidden="1">
      <c r="A80" s="15" t="s">
        <v>55</v>
      </c>
      <c r="B80" s="15">
        <v>2</v>
      </c>
      <c r="C80" s="22" t="s">
        <v>320</v>
      </c>
      <c r="D80" s="15">
        <v>1</v>
      </c>
      <c r="E80" s="50" t="s">
        <v>322</v>
      </c>
      <c r="F80" s="15" t="s">
        <v>49</v>
      </c>
      <c r="G80" s="15" t="s">
        <v>56</v>
      </c>
      <c r="H80" s="23">
        <v>1</v>
      </c>
      <c r="I80" s="23">
        <f>SUMIF(Task_hours!A$4:A$997, A80, Task_hours!H$4:H$997)</f>
        <v>2</v>
      </c>
      <c r="J80" s="15"/>
      <c r="K80" s="15" t="s">
        <v>10</v>
      </c>
      <c r="L80" s="52"/>
    </row>
    <row r="81" spans="1:12" ht="13.2" hidden="1">
      <c r="A81" s="36" t="s">
        <v>51</v>
      </c>
      <c r="B81" s="36">
        <v>2</v>
      </c>
      <c r="C81" s="27" t="s">
        <v>320</v>
      </c>
      <c r="D81" s="36">
        <v>3</v>
      </c>
      <c r="E81" s="47" t="s">
        <v>323</v>
      </c>
      <c r="F81" s="36" t="s">
        <v>52</v>
      </c>
      <c r="G81" s="36" t="s">
        <v>53</v>
      </c>
      <c r="H81" s="28">
        <v>3</v>
      </c>
      <c r="I81" s="28">
        <f>SUMIF(Task_hours!A$4:A$997, A81, Task_hours!H$4:H$997)</f>
        <v>1</v>
      </c>
      <c r="J81" s="36"/>
      <c r="K81" s="36" t="s">
        <v>10</v>
      </c>
      <c r="L81" s="49"/>
    </row>
    <row r="82" spans="1:12" ht="13.2" hidden="1">
      <c r="A82" s="15" t="s">
        <v>48</v>
      </c>
      <c r="B82" s="15">
        <v>2</v>
      </c>
      <c r="C82" s="22" t="s">
        <v>324</v>
      </c>
      <c r="D82" s="15">
        <v>3</v>
      </c>
      <c r="E82" s="50" t="s">
        <v>325</v>
      </c>
      <c r="F82" s="15" t="s">
        <v>45</v>
      </c>
      <c r="G82" s="15" t="s">
        <v>49</v>
      </c>
      <c r="H82" s="23">
        <v>1</v>
      </c>
      <c r="I82" s="23">
        <f>SUMIF(Task_hours!A$4:A$997, A82, Task_hours!H$4:H$997)</f>
        <v>1</v>
      </c>
      <c r="J82" s="15"/>
      <c r="K82" s="15" t="s">
        <v>10</v>
      </c>
      <c r="L82" s="52"/>
    </row>
    <row r="83" spans="1:12" ht="13.2" hidden="1">
      <c r="A83" s="36" t="s">
        <v>50</v>
      </c>
      <c r="B83" s="36">
        <v>2</v>
      </c>
      <c r="C83" s="27" t="s">
        <v>324</v>
      </c>
      <c r="D83" s="36">
        <v>3</v>
      </c>
      <c r="E83" s="47" t="s">
        <v>326</v>
      </c>
      <c r="F83" s="36" t="s">
        <v>49</v>
      </c>
      <c r="G83" s="36" t="s">
        <v>45</v>
      </c>
      <c r="H83" s="28">
        <v>1</v>
      </c>
      <c r="I83" s="28">
        <f>SUMIF(Task_hours!A$4:A$997, A83, Task_hours!H$4:H$997)</f>
        <v>1</v>
      </c>
      <c r="J83" s="36"/>
      <c r="K83" s="36" t="s">
        <v>10</v>
      </c>
      <c r="L83" s="49"/>
    </row>
    <row r="84" spans="1:12" ht="13.2" hidden="1">
      <c r="A84" s="15" t="s">
        <v>57</v>
      </c>
      <c r="B84" s="15">
        <v>2</v>
      </c>
      <c r="C84" s="22" t="s">
        <v>327</v>
      </c>
      <c r="D84" s="15">
        <v>3</v>
      </c>
      <c r="E84" s="50" t="s">
        <v>328</v>
      </c>
      <c r="F84" s="15" t="s">
        <v>52</v>
      </c>
      <c r="G84" s="15"/>
      <c r="H84" s="23">
        <v>0.5</v>
      </c>
      <c r="I84" s="23">
        <f>SUMIF(Task_hours!A$4:A$997, A84, Task_hours!H$4:H$997)</f>
        <v>0.5</v>
      </c>
      <c r="J84" s="15"/>
      <c r="K84" s="15" t="s">
        <v>10</v>
      </c>
      <c r="L84" s="52"/>
    </row>
    <row r="85" spans="1:12" ht="13.2" hidden="1">
      <c r="A85" s="36" t="s">
        <v>67</v>
      </c>
      <c r="B85" s="36">
        <v>2</v>
      </c>
      <c r="C85" s="27" t="s">
        <v>329</v>
      </c>
      <c r="D85" s="36">
        <v>1</v>
      </c>
      <c r="E85" s="47" t="s">
        <v>330</v>
      </c>
      <c r="F85" s="36" t="s">
        <v>49</v>
      </c>
      <c r="G85" s="36" t="s">
        <v>45</v>
      </c>
      <c r="H85" s="28">
        <v>1</v>
      </c>
      <c r="I85" s="28">
        <f>SUMIF(Task_hours!A$4:A$997, A85, Task_hours!H$4:H$997)</f>
        <v>1</v>
      </c>
      <c r="J85" s="36"/>
      <c r="K85" s="36" t="s">
        <v>10</v>
      </c>
      <c r="L85" s="49"/>
    </row>
    <row r="86" spans="1:12" ht="13.2" hidden="1">
      <c r="A86" s="15" t="s">
        <v>68</v>
      </c>
      <c r="B86" s="15">
        <v>2</v>
      </c>
      <c r="C86" s="22" t="s">
        <v>329</v>
      </c>
      <c r="D86" s="15">
        <v>1</v>
      </c>
      <c r="E86" s="50" t="s">
        <v>331</v>
      </c>
      <c r="F86" s="15" t="s">
        <v>49</v>
      </c>
      <c r="G86" s="15" t="s">
        <v>45</v>
      </c>
      <c r="H86" s="23">
        <v>1</v>
      </c>
      <c r="I86" s="23">
        <f>SUMIF(Task_hours!A$4:A$997, A86, Task_hours!H$4:H$997)</f>
        <v>1</v>
      </c>
      <c r="J86" s="15"/>
      <c r="K86" s="15" t="s">
        <v>10</v>
      </c>
      <c r="L86" s="52"/>
    </row>
    <row r="87" spans="1:12" ht="13.2" hidden="1">
      <c r="A87" s="36" t="s">
        <v>90</v>
      </c>
      <c r="B87" s="36">
        <v>2</v>
      </c>
      <c r="C87" s="27" t="s">
        <v>329</v>
      </c>
      <c r="D87" s="36">
        <v>1</v>
      </c>
      <c r="E87" s="47" t="s">
        <v>332</v>
      </c>
      <c r="F87" s="36" t="s">
        <v>49</v>
      </c>
      <c r="G87" s="36" t="s">
        <v>45</v>
      </c>
      <c r="H87" s="28">
        <v>1.5</v>
      </c>
      <c r="I87" s="28">
        <f>SUMIF(Task_hours!A$4:A$997, A87, Task_hours!H$4:H$997)</f>
        <v>1.5</v>
      </c>
      <c r="J87" s="36"/>
      <c r="K87" s="36" t="s">
        <v>10</v>
      </c>
      <c r="L87" s="49"/>
    </row>
    <row r="88" spans="1:12" ht="26.4" hidden="1">
      <c r="A88" s="15" t="s">
        <v>89</v>
      </c>
      <c r="B88" s="15">
        <v>2</v>
      </c>
      <c r="C88" s="22" t="s">
        <v>333</v>
      </c>
      <c r="D88" s="15">
        <v>1</v>
      </c>
      <c r="E88" s="50" t="s">
        <v>334</v>
      </c>
      <c r="F88" s="15" t="s">
        <v>52</v>
      </c>
      <c r="G88" s="15" t="s">
        <v>56</v>
      </c>
      <c r="H88" s="23">
        <v>2</v>
      </c>
      <c r="I88" s="23">
        <f>SUMIF(Task_hours!A$4:A$997, A88, Task_hours!H$4:H$997)</f>
        <v>3</v>
      </c>
      <c r="J88" s="15"/>
      <c r="K88" s="15" t="s">
        <v>10</v>
      </c>
      <c r="L88" s="52" t="s">
        <v>335</v>
      </c>
    </row>
    <row r="89" spans="1:12" ht="13.2" hidden="1">
      <c r="A89" s="36" t="s">
        <v>104</v>
      </c>
      <c r="B89" s="36">
        <v>3</v>
      </c>
      <c r="C89" s="27" t="s">
        <v>336</v>
      </c>
      <c r="D89" s="36">
        <v>1</v>
      </c>
      <c r="E89" s="47" t="s">
        <v>337</v>
      </c>
      <c r="F89" s="36" t="s">
        <v>46</v>
      </c>
      <c r="G89" s="36" t="s">
        <v>66</v>
      </c>
      <c r="H89" s="28">
        <v>4</v>
      </c>
      <c r="I89" s="28">
        <f>SUMIF(Task_hours!A$57:A$997, A89, Task_hours!H$57:H$997)</f>
        <v>3</v>
      </c>
      <c r="J89" s="36"/>
      <c r="K89" s="36" t="s">
        <v>10</v>
      </c>
      <c r="L89" s="49"/>
    </row>
    <row r="90" spans="1:12" ht="13.2" hidden="1">
      <c r="A90" s="15" t="s">
        <v>135</v>
      </c>
      <c r="B90" s="15">
        <v>3</v>
      </c>
      <c r="C90" s="22" t="s">
        <v>336</v>
      </c>
      <c r="D90" s="15">
        <v>1</v>
      </c>
      <c r="E90" s="50" t="s">
        <v>338</v>
      </c>
      <c r="F90" s="15" t="s">
        <v>66</v>
      </c>
      <c r="G90" s="15" t="s">
        <v>56</v>
      </c>
      <c r="H90" s="51">
        <v>2</v>
      </c>
      <c r="I90" s="23">
        <f>SUMIF(Task_hours!A$57:A$997, A90, Task_hours!H$57:H$997)</f>
        <v>1</v>
      </c>
      <c r="J90" s="15"/>
      <c r="K90" s="15" t="s">
        <v>10</v>
      </c>
      <c r="L90" s="52"/>
    </row>
    <row r="91" spans="1:12" ht="13.2" hidden="1">
      <c r="A91" s="44" t="s">
        <v>134</v>
      </c>
      <c r="B91" s="44">
        <v>3</v>
      </c>
      <c r="C91" s="67" t="s">
        <v>336</v>
      </c>
      <c r="D91" s="44">
        <v>2</v>
      </c>
      <c r="E91" s="68" t="s">
        <v>339</v>
      </c>
      <c r="F91" s="44" t="s">
        <v>66</v>
      </c>
      <c r="G91" s="44" t="s">
        <v>52</v>
      </c>
      <c r="H91" s="69">
        <v>2</v>
      </c>
      <c r="I91" s="28">
        <f>SUMIF(Task_hours!A$57:A$997, A91, Task_hours!H$57:H$997)</f>
        <v>2</v>
      </c>
      <c r="J91" s="36"/>
      <c r="K91" s="44" t="s">
        <v>10</v>
      </c>
      <c r="L91" s="49"/>
    </row>
    <row r="92" spans="1:12" ht="13.2" hidden="1">
      <c r="A92" s="15" t="s">
        <v>136</v>
      </c>
      <c r="B92" s="15">
        <v>3</v>
      </c>
      <c r="C92" s="22" t="s">
        <v>336</v>
      </c>
      <c r="D92" s="15">
        <v>1</v>
      </c>
      <c r="E92" s="50" t="s">
        <v>340</v>
      </c>
      <c r="F92" s="15" t="s">
        <v>53</v>
      </c>
      <c r="G92" s="15"/>
      <c r="H92" s="51">
        <v>2</v>
      </c>
      <c r="I92" s="23">
        <f>SUMIF(Task_hours!A$57:A$997, A92, Task_hours!H$57:H$997)</f>
        <v>3</v>
      </c>
      <c r="J92" s="15"/>
      <c r="K92" s="15" t="s">
        <v>10</v>
      </c>
      <c r="L92" s="52"/>
    </row>
    <row r="93" spans="1:12" ht="13.2" hidden="1">
      <c r="A93" s="36" t="s">
        <v>136</v>
      </c>
      <c r="B93" s="36">
        <v>3</v>
      </c>
      <c r="C93" s="27" t="s">
        <v>336</v>
      </c>
      <c r="D93" s="36">
        <v>1</v>
      </c>
      <c r="E93" s="47" t="s">
        <v>341</v>
      </c>
      <c r="F93" s="36" t="s">
        <v>66</v>
      </c>
      <c r="G93" s="36" t="s">
        <v>70</v>
      </c>
      <c r="H93" s="48">
        <v>1</v>
      </c>
      <c r="I93" s="28">
        <f>SUMIF(Task_hours!A$57:A$997, A93, Task_hours!H$57:H$997)</f>
        <v>3</v>
      </c>
      <c r="J93" s="36"/>
      <c r="K93" s="36" t="s">
        <v>10</v>
      </c>
      <c r="L93" s="49"/>
    </row>
    <row r="94" spans="1:12" ht="13.2" hidden="1">
      <c r="A94" s="15" t="s">
        <v>108</v>
      </c>
      <c r="B94" s="15">
        <v>3</v>
      </c>
      <c r="C94" s="22" t="s">
        <v>336</v>
      </c>
      <c r="D94" s="15">
        <v>1</v>
      </c>
      <c r="E94" s="50" t="s">
        <v>342</v>
      </c>
      <c r="F94" s="15" t="s">
        <v>53</v>
      </c>
      <c r="G94" s="15" t="s">
        <v>66</v>
      </c>
      <c r="H94" s="23">
        <v>3</v>
      </c>
      <c r="I94" s="23">
        <f>SUMIF(Task_hours!A$57:A$997, A94, Task_hours!H$57:H$997)</f>
        <v>3</v>
      </c>
      <c r="J94" s="15"/>
      <c r="K94" s="15" t="s">
        <v>10</v>
      </c>
      <c r="L94" s="52"/>
    </row>
    <row r="95" spans="1:12" ht="13.2" hidden="1">
      <c r="A95" s="36" t="s">
        <v>109</v>
      </c>
      <c r="B95" s="36">
        <v>3</v>
      </c>
      <c r="C95" s="27" t="s">
        <v>336</v>
      </c>
      <c r="D95" s="36">
        <v>1</v>
      </c>
      <c r="E95" s="47" t="s">
        <v>343</v>
      </c>
      <c r="F95" s="36" t="s">
        <v>45</v>
      </c>
      <c r="G95" s="36" t="s">
        <v>49</v>
      </c>
      <c r="H95" s="28">
        <v>3</v>
      </c>
      <c r="I95" s="28">
        <f>SUMIF(Task_hours!A$57:A$997, A95, Task_hours!H$57:H$997)</f>
        <v>1</v>
      </c>
      <c r="J95" s="36"/>
      <c r="K95" s="36" t="s">
        <v>10</v>
      </c>
      <c r="L95" s="49"/>
    </row>
    <row r="96" spans="1:12" ht="13.2" hidden="1">
      <c r="A96" s="15" t="s">
        <v>125</v>
      </c>
      <c r="B96" s="15">
        <v>3</v>
      </c>
      <c r="C96" s="22" t="s">
        <v>336</v>
      </c>
      <c r="D96" s="15">
        <v>1</v>
      </c>
      <c r="E96" s="50" t="s">
        <v>344</v>
      </c>
      <c r="F96" s="15" t="s">
        <v>70</v>
      </c>
      <c r="G96" s="15" t="s">
        <v>49</v>
      </c>
      <c r="H96" s="23">
        <v>3</v>
      </c>
      <c r="I96" s="23">
        <f>SUMIF(Task_hours!A$57:A$997, A96, Task_hours!H$57:H$997)</f>
        <v>4.5</v>
      </c>
      <c r="J96" s="15"/>
      <c r="K96" s="15" t="s">
        <v>10</v>
      </c>
      <c r="L96" s="52"/>
    </row>
    <row r="97" spans="1:12" ht="13.2" hidden="1">
      <c r="A97" s="36" t="s">
        <v>120</v>
      </c>
      <c r="B97" s="36">
        <v>3</v>
      </c>
      <c r="C97" s="27" t="s">
        <v>336</v>
      </c>
      <c r="D97" s="36">
        <v>2</v>
      </c>
      <c r="E97" s="47" t="s">
        <v>345</v>
      </c>
      <c r="F97" s="36" t="s">
        <v>56</v>
      </c>
      <c r="G97" s="36" t="s">
        <v>63</v>
      </c>
      <c r="H97" s="28">
        <v>2</v>
      </c>
      <c r="I97" s="28">
        <f>SUMIF(Task_hours!A$57:A$997, A97, Task_hours!H$57:H$997)</f>
        <v>2</v>
      </c>
      <c r="J97" s="36"/>
      <c r="K97" s="36" t="s">
        <v>10</v>
      </c>
      <c r="L97" s="49"/>
    </row>
    <row r="98" spans="1:12" ht="13.2" hidden="1">
      <c r="A98" s="15" t="s">
        <v>127</v>
      </c>
      <c r="B98" s="15">
        <v>3</v>
      </c>
      <c r="C98" s="22" t="s">
        <v>336</v>
      </c>
      <c r="D98" s="15">
        <v>2</v>
      </c>
      <c r="E98" s="50" t="s">
        <v>346</v>
      </c>
      <c r="F98" s="15" t="s">
        <v>52</v>
      </c>
      <c r="G98" s="15" t="s">
        <v>53</v>
      </c>
      <c r="H98" s="23">
        <v>3</v>
      </c>
      <c r="I98" s="23">
        <f>SUMIF(Task_hours!A$57:A$997, A98, Task_hours!H$57:H$997)</f>
        <v>6</v>
      </c>
      <c r="J98" s="15"/>
      <c r="K98" s="15" t="s">
        <v>10</v>
      </c>
      <c r="L98" s="52"/>
    </row>
    <row r="99" spans="1:12" ht="13.2" hidden="1">
      <c r="A99" s="36" t="s">
        <v>126</v>
      </c>
      <c r="B99" s="36">
        <v>3</v>
      </c>
      <c r="C99" s="27" t="s">
        <v>336</v>
      </c>
      <c r="D99" s="36">
        <v>2</v>
      </c>
      <c r="E99" s="47" t="s">
        <v>347</v>
      </c>
      <c r="F99" s="36" t="s">
        <v>53</v>
      </c>
      <c r="G99" s="36" t="s">
        <v>52</v>
      </c>
      <c r="H99" s="28">
        <v>4</v>
      </c>
      <c r="I99" s="28">
        <f>SUMIF(Task_hours!A$57:A$997, A99, Task_hours!H$57:H$997)</f>
        <v>5</v>
      </c>
      <c r="J99" s="36"/>
      <c r="K99" s="36" t="s">
        <v>10</v>
      </c>
      <c r="L99" s="49"/>
    </row>
    <row r="100" spans="1:12" ht="13.2" hidden="1">
      <c r="A100" s="15" t="s">
        <v>113</v>
      </c>
      <c r="B100" s="15">
        <v>3</v>
      </c>
      <c r="C100" s="22" t="s">
        <v>336</v>
      </c>
      <c r="D100" s="15">
        <v>1</v>
      </c>
      <c r="E100" s="50" t="s">
        <v>348</v>
      </c>
      <c r="F100" s="15" t="s">
        <v>66</v>
      </c>
      <c r="G100" s="15" t="s">
        <v>52</v>
      </c>
      <c r="H100" s="51">
        <v>2</v>
      </c>
      <c r="I100" s="23">
        <f>SUMIF(Task_hours!A$57:A$997, A100, Task_hours!H$57:H$997)</f>
        <v>2.5</v>
      </c>
      <c r="J100" s="15"/>
      <c r="K100" s="15" t="s">
        <v>10</v>
      </c>
      <c r="L100" s="52"/>
    </row>
    <row r="101" spans="1:12" ht="13.2" hidden="1">
      <c r="A101" s="36" t="s">
        <v>117</v>
      </c>
      <c r="B101" s="36">
        <v>3</v>
      </c>
      <c r="C101" s="27" t="s">
        <v>336</v>
      </c>
      <c r="D101" s="36">
        <v>1</v>
      </c>
      <c r="E101" s="47" t="s">
        <v>349</v>
      </c>
      <c r="F101" s="36" t="s">
        <v>66</v>
      </c>
      <c r="G101" s="36" t="s">
        <v>53</v>
      </c>
      <c r="H101" s="48">
        <v>3</v>
      </c>
      <c r="I101" s="28">
        <v>0</v>
      </c>
      <c r="J101" s="36"/>
      <c r="K101" s="36" t="s">
        <v>10</v>
      </c>
      <c r="L101" s="49"/>
    </row>
    <row r="102" spans="1:12" ht="13.2" hidden="1">
      <c r="A102" s="15" t="s">
        <v>106</v>
      </c>
      <c r="B102" s="15">
        <v>3</v>
      </c>
      <c r="C102" s="22" t="s">
        <v>350</v>
      </c>
      <c r="D102" s="15">
        <v>1</v>
      </c>
      <c r="E102" s="50" t="s">
        <v>351</v>
      </c>
      <c r="F102" s="15" t="s">
        <v>46</v>
      </c>
      <c r="G102" s="15" t="s">
        <v>59</v>
      </c>
      <c r="H102" s="23">
        <v>3</v>
      </c>
      <c r="I102" s="23">
        <f>SUMIF(Task_hours!A$57:A$997, A102, Task_hours!H$57:H$997)</f>
        <v>2</v>
      </c>
      <c r="J102" s="15"/>
      <c r="K102" s="15" t="s">
        <v>10</v>
      </c>
      <c r="L102" s="52"/>
    </row>
    <row r="103" spans="1:12" ht="13.2" hidden="1">
      <c r="A103" s="36" t="s">
        <v>105</v>
      </c>
      <c r="B103" s="36">
        <v>3</v>
      </c>
      <c r="C103" s="27" t="s">
        <v>350</v>
      </c>
      <c r="D103" s="36">
        <v>1</v>
      </c>
      <c r="E103" s="47" t="s">
        <v>352</v>
      </c>
      <c r="F103" s="36" t="s">
        <v>46</v>
      </c>
      <c r="G103" s="36" t="s">
        <v>59</v>
      </c>
      <c r="H103" s="28">
        <v>6</v>
      </c>
      <c r="I103" s="28">
        <f>SUMIF(Task_hours!A$57:A$997, A103, Task_hours!H$57:H$997)</f>
        <v>5.5</v>
      </c>
      <c r="J103" s="36"/>
      <c r="K103" s="36" t="s">
        <v>10</v>
      </c>
      <c r="L103" s="49"/>
    </row>
    <row r="104" spans="1:12" ht="13.2" hidden="1">
      <c r="A104" s="15" t="s">
        <v>140</v>
      </c>
      <c r="B104" s="15">
        <v>3</v>
      </c>
      <c r="C104" s="22" t="s">
        <v>350</v>
      </c>
      <c r="D104" s="15">
        <v>1</v>
      </c>
      <c r="E104" s="50" t="s">
        <v>353</v>
      </c>
      <c r="F104" s="15" t="s">
        <v>59</v>
      </c>
      <c r="G104" s="15"/>
      <c r="H104" s="23">
        <v>1</v>
      </c>
      <c r="I104" s="23">
        <f>SUMIF(Task_hours!A$57:A$997, A104, Task_hours!H$57:H$997)</f>
        <v>1</v>
      </c>
      <c r="J104" s="15"/>
      <c r="K104" s="15" t="s">
        <v>10</v>
      </c>
      <c r="L104" s="52"/>
    </row>
    <row r="105" spans="1:12" ht="13.2" hidden="1">
      <c r="A105" s="36" t="s">
        <v>110</v>
      </c>
      <c r="B105" s="36">
        <v>3</v>
      </c>
      <c r="C105" s="27" t="s">
        <v>354</v>
      </c>
      <c r="D105" s="36">
        <v>1</v>
      </c>
      <c r="E105" s="47" t="s">
        <v>355</v>
      </c>
      <c r="F105" s="36" t="s">
        <v>45</v>
      </c>
      <c r="G105" s="36" t="s">
        <v>53</v>
      </c>
      <c r="H105" s="28">
        <v>3</v>
      </c>
      <c r="I105" s="28">
        <f>SUMIF(Task_hours!A$57:A$997, A105, Task_hours!H$57:H$997)</f>
        <v>0.5</v>
      </c>
      <c r="J105" s="36"/>
      <c r="K105" s="36" t="s">
        <v>10</v>
      </c>
      <c r="L105" s="49"/>
    </row>
    <row r="106" spans="1:12" ht="13.2" hidden="1">
      <c r="A106" s="15" t="s">
        <v>111</v>
      </c>
      <c r="B106" s="15">
        <v>3</v>
      </c>
      <c r="C106" s="22" t="s">
        <v>354</v>
      </c>
      <c r="D106" s="15">
        <v>1</v>
      </c>
      <c r="E106" s="50" t="s">
        <v>356</v>
      </c>
      <c r="F106" s="15" t="s">
        <v>45</v>
      </c>
      <c r="G106" s="15" t="s">
        <v>53</v>
      </c>
      <c r="H106" s="23">
        <v>5</v>
      </c>
      <c r="I106" s="23">
        <f>SUMIF(Task_hours!A$57:A$997, A106, Task_hours!H$57:H$997)</f>
        <v>2</v>
      </c>
      <c r="J106" s="15"/>
      <c r="K106" s="15" t="s">
        <v>10</v>
      </c>
      <c r="L106" s="52"/>
    </row>
    <row r="107" spans="1:12" ht="13.2" hidden="1">
      <c r="A107" s="36" t="s">
        <v>114</v>
      </c>
      <c r="B107" s="36">
        <v>3</v>
      </c>
      <c r="C107" s="27" t="s">
        <v>354</v>
      </c>
      <c r="D107" s="36">
        <v>2</v>
      </c>
      <c r="E107" s="47" t="s">
        <v>357</v>
      </c>
      <c r="F107" s="36" t="s">
        <v>53</v>
      </c>
      <c r="G107" s="36" t="s">
        <v>45</v>
      </c>
      <c r="H107" s="28">
        <v>2</v>
      </c>
      <c r="I107" s="28">
        <f>SUMIF(Task_hours!A$57:A$997, A107, Task_hours!H$57:H$997)</f>
        <v>1</v>
      </c>
      <c r="J107" s="36"/>
      <c r="K107" s="36" t="s">
        <v>10</v>
      </c>
      <c r="L107" s="49"/>
    </row>
    <row r="108" spans="1:12" ht="13.2" hidden="1">
      <c r="A108" s="15" t="s">
        <v>128</v>
      </c>
      <c r="B108" s="15">
        <v>3</v>
      </c>
      <c r="C108" s="22" t="s">
        <v>354</v>
      </c>
      <c r="D108" s="15">
        <v>3</v>
      </c>
      <c r="E108" s="50" t="s">
        <v>358</v>
      </c>
      <c r="F108" s="15" t="s">
        <v>45</v>
      </c>
      <c r="G108" s="15" t="s">
        <v>56</v>
      </c>
      <c r="H108" s="23">
        <v>2</v>
      </c>
      <c r="I108" s="23">
        <f>SUMIF(Task_hours!A$57:A$997, A108, Task_hours!H$57:H$997)</f>
        <v>3</v>
      </c>
      <c r="J108" s="15"/>
      <c r="K108" s="15" t="s">
        <v>10</v>
      </c>
      <c r="L108" s="52"/>
    </row>
    <row r="109" spans="1:12" ht="13.2" hidden="1">
      <c r="A109" s="36" t="s">
        <v>115</v>
      </c>
      <c r="B109" s="36">
        <v>3</v>
      </c>
      <c r="C109" s="27" t="s">
        <v>354</v>
      </c>
      <c r="D109" s="36">
        <v>3</v>
      </c>
      <c r="E109" s="47" t="s">
        <v>359</v>
      </c>
      <c r="F109" s="36" t="s">
        <v>53</v>
      </c>
      <c r="G109" s="36" t="s">
        <v>45</v>
      </c>
      <c r="H109" s="28">
        <v>0.5</v>
      </c>
      <c r="I109" s="28">
        <f>SUMIF(Task_hours!A$57:A$997, A109, Task_hours!H$57:H$997)</f>
        <v>0.5</v>
      </c>
      <c r="J109" s="36"/>
      <c r="K109" s="36" t="s">
        <v>10</v>
      </c>
      <c r="L109" s="49"/>
    </row>
    <row r="110" spans="1:12" ht="13.2" hidden="1">
      <c r="A110" s="15" t="s">
        <v>132</v>
      </c>
      <c r="B110" s="15">
        <v>3</v>
      </c>
      <c r="C110" s="22" t="s">
        <v>360</v>
      </c>
      <c r="D110" s="15">
        <v>1</v>
      </c>
      <c r="E110" s="50" t="s">
        <v>361</v>
      </c>
      <c r="F110" s="15" t="s">
        <v>52</v>
      </c>
      <c r="G110" s="15" t="s">
        <v>70</v>
      </c>
      <c r="H110" s="51">
        <v>1.5</v>
      </c>
      <c r="I110" s="23">
        <f>SUMIF(Task_hours!A$57:A$997, A110, Task_hours!H$57:H$997)</f>
        <v>1</v>
      </c>
      <c r="J110" s="15"/>
      <c r="K110" s="15" t="s">
        <v>10</v>
      </c>
      <c r="L110" s="52"/>
    </row>
    <row r="111" spans="1:12" ht="13.2" hidden="1">
      <c r="A111" s="36" t="s">
        <v>112</v>
      </c>
      <c r="B111" s="36">
        <v>3</v>
      </c>
      <c r="C111" s="27" t="s">
        <v>360</v>
      </c>
      <c r="D111" s="36">
        <v>1</v>
      </c>
      <c r="E111" s="47" t="s">
        <v>362</v>
      </c>
      <c r="F111" s="36" t="s">
        <v>56</v>
      </c>
      <c r="G111" s="36" t="s">
        <v>52</v>
      </c>
      <c r="H111" s="28">
        <v>5</v>
      </c>
      <c r="I111" s="28">
        <f>SUMIF(Task_hours!A$57:A$997, A111, Task_hours!H$57:H$997)</f>
        <v>1</v>
      </c>
      <c r="J111" s="36"/>
      <c r="K111" s="36" t="s">
        <v>10</v>
      </c>
      <c r="L111" s="49"/>
    </row>
    <row r="112" spans="1:12" ht="13.2" hidden="1">
      <c r="A112" s="15" t="s">
        <v>116</v>
      </c>
      <c r="B112" s="15">
        <v>3</v>
      </c>
      <c r="C112" s="22" t="s">
        <v>360</v>
      </c>
      <c r="D112" s="15">
        <v>1</v>
      </c>
      <c r="E112" s="50" t="s">
        <v>363</v>
      </c>
      <c r="F112" s="15" t="s">
        <v>70</v>
      </c>
      <c r="G112" s="15" t="s">
        <v>53</v>
      </c>
      <c r="H112" s="23">
        <v>5</v>
      </c>
      <c r="I112" s="23">
        <f>SUMIF(Task_hours!A$57:A$997, A112, Task_hours!H$57:H$997)</f>
        <v>2</v>
      </c>
      <c r="J112" s="15"/>
      <c r="K112" s="15" t="s">
        <v>10</v>
      </c>
      <c r="L112" s="52"/>
    </row>
    <row r="113" spans="1:12" ht="13.2" hidden="1">
      <c r="A113" s="36" t="s">
        <v>118</v>
      </c>
      <c r="B113" s="36">
        <v>3</v>
      </c>
      <c r="C113" s="27" t="s">
        <v>360</v>
      </c>
      <c r="D113" s="36">
        <v>1</v>
      </c>
      <c r="E113" s="47" t="s">
        <v>364</v>
      </c>
      <c r="F113" s="36" t="s">
        <v>53</v>
      </c>
      <c r="G113" s="36" t="s">
        <v>56</v>
      </c>
      <c r="H113" s="28">
        <v>2</v>
      </c>
      <c r="I113" s="28">
        <f>SUMIF(Task_hours!A$57:A$997, A113, Task_hours!H$57:H$997)</f>
        <v>1.5</v>
      </c>
      <c r="J113" s="36"/>
      <c r="K113" s="36" t="s">
        <v>10</v>
      </c>
      <c r="L113" s="49"/>
    </row>
    <row r="114" spans="1:12" ht="13.2" hidden="1">
      <c r="A114" s="15" t="s">
        <v>129</v>
      </c>
      <c r="B114" s="15">
        <v>3</v>
      </c>
      <c r="C114" s="22" t="s">
        <v>360</v>
      </c>
      <c r="D114" s="15">
        <v>1</v>
      </c>
      <c r="E114" s="50" t="s">
        <v>365</v>
      </c>
      <c r="F114" s="15" t="s">
        <v>63</v>
      </c>
      <c r="G114" s="15" t="s">
        <v>70</v>
      </c>
      <c r="H114" s="23">
        <v>3</v>
      </c>
      <c r="I114" s="23">
        <f>SUMIF(Task_hours!A$57:A$997, A114, Task_hours!H$57:H$997)</f>
        <v>2.5</v>
      </c>
      <c r="J114" s="15"/>
      <c r="K114" s="15" t="s">
        <v>10</v>
      </c>
      <c r="L114" s="52"/>
    </row>
    <row r="115" spans="1:12" ht="13.2" hidden="1">
      <c r="A115" s="36" t="s">
        <v>131</v>
      </c>
      <c r="B115" s="36">
        <v>3</v>
      </c>
      <c r="C115" s="27" t="s">
        <v>360</v>
      </c>
      <c r="D115" s="36">
        <v>1</v>
      </c>
      <c r="E115" s="47" t="s">
        <v>366</v>
      </c>
      <c r="F115" s="36" t="s">
        <v>56</v>
      </c>
      <c r="G115" s="36" t="s">
        <v>66</v>
      </c>
      <c r="H115" s="28">
        <v>3</v>
      </c>
      <c r="I115" s="28">
        <f>SUMIF(Task_hours!A$57:A$997, A115, Task_hours!H$57:H$997)</f>
        <v>3</v>
      </c>
      <c r="J115" s="36"/>
      <c r="K115" s="36" t="s">
        <v>10</v>
      </c>
      <c r="L115" s="49"/>
    </row>
    <row r="116" spans="1:12" ht="13.2" hidden="1">
      <c r="A116" s="15" t="s">
        <v>130</v>
      </c>
      <c r="B116" s="15">
        <v>3</v>
      </c>
      <c r="C116" s="22" t="s">
        <v>360</v>
      </c>
      <c r="D116" s="15">
        <v>1</v>
      </c>
      <c r="E116" s="50" t="s">
        <v>367</v>
      </c>
      <c r="F116" s="15" t="s">
        <v>52</v>
      </c>
      <c r="G116" s="15" t="s">
        <v>70</v>
      </c>
      <c r="H116" s="51">
        <v>3</v>
      </c>
      <c r="I116" s="23">
        <f>SUMIF(Task_hours!A$57:A$997, A116, Task_hours!H$57:H$997)</f>
        <v>3</v>
      </c>
      <c r="J116" s="15"/>
      <c r="K116" s="15" t="s">
        <v>10</v>
      </c>
      <c r="L116" s="52"/>
    </row>
    <row r="117" spans="1:12" ht="13.2" hidden="1">
      <c r="A117" s="36" t="s">
        <v>133</v>
      </c>
      <c r="B117" s="36">
        <v>3</v>
      </c>
      <c r="C117" s="27" t="s">
        <v>360</v>
      </c>
      <c r="D117" s="36">
        <v>1</v>
      </c>
      <c r="E117" s="47" t="s">
        <v>368</v>
      </c>
      <c r="F117" s="36" t="s">
        <v>70</v>
      </c>
      <c r="G117" s="36" t="s">
        <v>52</v>
      </c>
      <c r="H117" s="48">
        <v>2</v>
      </c>
      <c r="I117" s="28">
        <f>SUMIF(Task_hours!A$57:A$997, A117, Task_hours!H$57:H$997)</f>
        <v>1.5</v>
      </c>
      <c r="J117" s="36"/>
      <c r="K117" s="36" t="s">
        <v>10</v>
      </c>
      <c r="L117" s="49"/>
    </row>
    <row r="118" spans="1:12" ht="13.2" hidden="1">
      <c r="A118" s="15" t="s">
        <v>124</v>
      </c>
      <c r="B118" s="15">
        <v>3</v>
      </c>
      <c r="C118" s="22" t="s">
        <v>360</v>
      </c>
      <c r="D118" s="15">
        <v>1</v>
      </c>
      <c r="E118" s="50" t="s">
        <v>369</v>
      </c>
      <c r="F118" s="15" t="s">
        <v>70</v>
      </c>
      <c r="G118" s="15" t="s">
        <v>56</v>
      </c>
      <c r="H118" s="51">
        <v>3</v>
      </c>
      <c r="I118" s="23">
        <f>SUMIF(Task_hours!A$57:A$997, A118, Task_hours!H$57:H$997)</f>
        <v>5</v>
      </c>
      <c r="J118" s="15"/>
      <c r="K118" s="15" t="s">
        <v>10</v>
      </c>
      <c r="L118" s="52"/>
    </row>
    <row r="119" spans="1:12" ht="13.2" hidden="1">
      <c r="A119" s="36" t="s">
        <v>102</v>
      </c>
      <c r="B119" s="36">
        <v>3</v>
      </c>
      <c r="C119" s="27" t="s">
        <v>370</v>
      </c>
      <c r="D119" s="36">
        <v>1</v>
      </c>
      <c r="E119" s="47" t="s">
        <v>371</v>
      </c>
      <c r="F119" s="36" t="s">
        <v>45</v>
      </c>
      <c r="G119" s="36" t="s">
        <v>56</v>
      </c>
      <c r="H119" s="28">
        <v>2</v>
      </c>
      <c r="I119" s="28">
        <f>SUMIF(Task_hours!A$57:A$997, A119, Task_hours!H$57:H$997)</f>
        <v>1.5</v>
      </c>
      <c r="J119" s="36"/>
      <c r="K119" s="36" t="s">
        <v>10</v>
      </c>
      <c r="L119" s="49"/>
    </row>
    <row r="120" spans="1:12" ht="13.2" hidden="1">
      <c r="A120" s="15" t="s">
        <v>107</v>
      </c>
      <c r="B120" s="15">
        <v>3</v>
      </c>
      <c r="C120" s="22" t="s">
        <v>370</v>
      </c>
      <c r="D120" s="15">
        <v>2</v>
      </c>
      <c r="E120" s="50" t="s">
        <v>372</v>
      </c>
      <c r="F120" s="15" t="s">
        <v>49</v>
      </c>
      <c r="G120" s="15" t="s">
        <v>56</v>
      </c>
      <c r="H120" s="23">
        <v>3</v>
      </c>
      <c r="I120" s="23">
        <f>SUMIF(Task_hours!A$57:A$997, A120, Task_hours!H$57:H$997)</f>
        <v>2.5</v>
      </c>
      <c r="J120" s="15"/>
      <c r="K120" s="15" t="s">
        <v>10</v>
      </c>
      <c r="L120" s="52"/>
    </row>
    <row r="121" spans="1:12" ht="13.2" hidden="1">
      <c r="A121" s="36" t="s">
        <v>122</v>
      </c>
      <c r="B121" s="36">
        <v>3</v>
      </c>
      <c r="C121" s="27" t="s">
        <v>370</v>
      </c>
      <c r="D121" s="36">
        <v>2</v>
      </c>
      <c r="E121" s="47" t="s">
        <v>373</v>
      </c>
      <c r="F121" s="36" t="s">
        <v>63</v>
      </c>
      <c r="G121" s="36" t="s">
        <v>56</v>
      </c>
      <c r="H121" s="28">
        <v>4</v>
      </c>
      <c r="I121" s="28">
        <f>SUMIF(Task_hours!A$57:A$997, A121, Task_hours!H$57:H$997)</f>
        <v>3</v>
      </c>
      <c r="J121" s="36"/>
      <c r="K121" s="36" t="s">
        <v>10</v>
      </c>
      <c r="L121" s="49"/>
    </row>
    <row r="122" spans="1:12" ht="13.2" hidden="1">
      <c r="A122" s="15" t="s">
        <v>119</v>
      </c>
      <c r="B122" s="15">
        <v>3</v>
      </c>
      <c r="C122" s="22" t="s">
        <v>370</v>
      </c>
      <c r="D122" s="15">
        <v>3</v>
      </c>
      <c r="E122" s="50" t="s">
        <v>374</v>
      </c>
      <c r="F122" s="15" t="s">
        <v>56</v>
      </c>
      <c r="G122" s="15"/>
      <c r="H122" s="23">
        <v>1</v>
      </c>
      <c r="I122" s="23">
        <v>0</v>
      </c>
      <c r="J122" s="15"/>
      <c r="K122" s="15" t="s">
        <v>10</v>
      </c>
      <c r="L122" s="52"/>
    </row>
    <row r="123" spans="1:12" ht="13.2" hidden="1">
      <c r="A123" s="36" t="s">
        <v>103</v>
      </c>
      <c r="B123" s="36">
        <v>3</v>
      </c>
      <c r="C123" s="27" t="s">
        <v>370</v>
      </c>
      <c r="D123" s="36">
        <v>2</v>
      </c>
      <c r="E123" s="47" t="s">
        <v>375</v>
      </c>
      <c r="F123" s="36" t="s">
        <v>49</v>
      </c>
      <c r="G123" s="36"/>
      <c r="H123" s="28">
        <v>3</v>
      </c>
      <c r="I123" s="28">
        <f>SUMIF(Task_hours!A$57:A$997, A123, Task_hours!H$57:H$997)</f>
        <v>4</v>
      </c>
      <c r="J123" s="36"/>
      <c r="K123" s="36" t="s">
        <v>10</v>
      </c>
      <c r="L123" s="49"/>
    </row>
    <row r="124" spans="1:12" ht="13.2" hidden="1">
      <c r="A124" s="15" t="s">
        <v>121</v>
      </c>
      <c r="B124" s="15">
        <v>3</v>
      </c>
      <c r="C124" s="22" t="s">
        <v>370</v>
      </c>
      <c r="D124" s="15">
        <v>3</v>
      </c>
      <c r="E124" s="50" t="s">
        <v>376</v>
      </c>
      <c r="F124" s="15" t="s">
        <v>49</v>
      </c>
      <c r="G124" s="15"/>
      <c r="H124" s="51">
        <v>2</v>
      </c>
      <c r="I124" s="23">
        <f>SUMIF(Task_hours!A$57:A$997, A124, Task_hours!H$57:H$997)</f>
        <v>2</v>
      </c>
      <c r="J124" s="15"/>
      <c r="K124" s="15" t="s">
        <v>10</v>
      </c>
      <c r="L124" s="52"/>
    </row>
    <row r="125" spans="1:12" ht="13.2" hidden="1">
      <c r="A125" s="36" t="s">
        <v>144</v>
      </c>
      <c r="B125" s="36">
        <v>3</v>
      </c>
      <c r="C125" s="27" t="s">
        <v>370</v>
      </c>
      <c r="D125" s="36">
        <v>3</v>
      </c>
      <c r="E125" s="47" t="s">
        <v>377</v>
      </c>
      <c r="F125" s="36" t="s">
        <v>63</v>
      </c>
      <c r="G125" s="36" t="s">
        <v>56</v>
      </c>
      <c r="H125" s="48">
        <v>2</v>
      </c>
      <c r="I125" s="28">
        <f>SUMIF(Task_hours!A$57:A$997, A125, Task_hours!H$57:H$997)</f>
        <v>2.5</v>
      </c>
      <c r="J125" s="36"/>
      <c r="K125" s="36" t="s">
        <v>10</v>
      </c>
      <c r="L125" s="49"/>
    </row>
    <row r="126" spans="1:12" ht="13.2" hidden="1">
      <c r="A126" s="15" t="s">
        <v>137</v>
      </c>
      <c r="B126" s="15">
        <v>3</v>
      </c>
      <c r="C126" s="22" t="s">
        <v>370</v>
      </c>
      <c r="D126" s="15">
        <v>1</v>
      </c>
      <c r="E126" s="50" t="s">
        <v>378</v>
      </c>
      <c r="F126" s="15" t="s">
        <v>52</v>
      </c>
      <c r="G126" s="15"/>
      <c r="H126" s="51">
        <v>2</v>
      </c>
      <c r="I126" s="23">
        <f>SUMIF(Task_hours!A$57:A$997, A126, Task_hours!H$57:H$997)</f>
        <v>1.5</v>
      </c>
      <c r="J126" s="15"/>
      <c r="K126" s="15" t="s">
        <v>10</v>
      </c>
      <c r="L126" s="52"/>
    </row>
    <row r="127" spans="1:12" ht="13.2" hidden="1">
      <c r="A127" s="36" t="s">
        <v>123</v>
      </c>
      <c r="B127" s="36">
        <v>3</v>
      </c>
      <c r="C127" s="27" t="s">
        <v>370</v>
      </c>
      <c r="D127" s="36">
        <v>1</v>
      </c>
      <c r="E127" s="47" t="s">
        <v>379</v>
      </c>
      <c r="F127" s="36" t="s">
        <v>49</v>
      </c>
      <c r="G127" s="36" t="s">
        <v>63</v>
      </c>
      <c r="H127" s="28">
        <v>3</v>
      </c>
      <c r="I127" s="28">
        <f>SUMIF(Task_hours!A$57:A$997, A127, Task_hours!H$57:H$997)</f>
        <v>5</v>
      </c>
      <c r="J127" s="36"/>
      <c r="K127" s="36" t="s">
        <v>10</v>
      </c>
      <c r="L127" s="49"/>
    </row>
    <row r="128" spans="1:12" ht="13.2" hidden="1">
      <c r="A128" s="15" t="s">
        <v>138</v>
      </c>
      <c r="B128" s="15">
        <v>3</v>
      </c>
      <c r="C128" s="22" t="s">
        <v>336</v>
      </c>
      <c r="D128" s="15">
        <v>1</v>
      </c>
      <c r="E128" s="50" t="s">
        <v>380</v>
      </c>
      <c r="F128" s="15" t="s">
        <v>66</v>
      </c>
      <c r="G128" s="15" t="s">
        <v>70</v>
      </c>
      <c r="H128" s="51">
        <v>2</v>
      </c>
      <c r="I128" s="23">
        <f>SUMIF(Task_hours!A$57:A$997, A128, Task_hours!H$57:H$997)</f>
        <v>4</v>
      </c>
      <c r="J128" s="15"/>
      <c r="K128" s="15" t="s">
        <v>10</v>
      </c>
      <c r="L128" s="52"/>
    </row>
    <row r="129" spans="1:12" ht="13.2" hidden="1">
      <c r="A129" s="36" t="s">
        <v>139</v>
      </c>
      <c r="B129" s="36">
        <v>3</v>
      </c>
      <c r="C129" s="27" t="s">
        <v>336</v>
      </c>
      <c r="D129" s="36">
        <v>1</v>
      </c>
      <c r="E129" s="47" t="s">
        <v>381</v>
      </c>
      <c r="F129" s="36" t="s">
        <v>53</v>
      </c>
      <c r="G129" s="36" t="s">
        <v>66</v>
      </c>
      <c r="H129" s="48">
        <v>4</v>
      </c>
      <c r="I129" s="28">
        <f>SUMIF(Task_hours!A$57:A$997, A129, Task_hours!H$57:H$997)</f>
        <v>3</v>
      </c>
      <c r="J129" s="36"/>
      <c r="K129" s="36" t="s">
        <v>10</v>
      </c>
      <c r="L129" s="49"/>
    </row>
    <row r="130" spans="1:12" ht="13.2" hidden="1">
      <c r="A130" s="15" t="s">
        <v>141</v>
      </c>
      <c r="B130" s="15">
        <v>3</v>
      </c>
      <c r="C130" s="22" t="s">
        <v>370</v>
      </c>
      <c r="D130" s="15">
        <v>2</v>
      </c>
      <c r="E130" s="50" t="s">
        <v>382</v>
      </c>
      <c r="F130" s="15" t="s">
        <v>66</v>
      </c>
      <c r="G130" s="15"/>
      <c r="H130" s="51">
        <v>2</v>
      </c>
      <c r="I130" s="23">
        <f>SUMIF(Task_hours!A$57:A$997, A130, Task_hours!H$57:H$997)</f>
        <v>2</v>
      </c>
      <c r="J130" s="15"/>
      <c r="K130" s="15" t="s">
        <v>10</v>
      </c>
      <c r="L130" s="52"/>
    </row>
    <row r="131" spans="1:12" ht="13.2" hidden="1">
      <c r="A131" s="36" t="s">
        <v>142</v>
      </c>
      <c r="B131" s="36">
        <v>3</v>
      </c>
      <c r="C131" s="27" t="s">
        <v>370</v>
      </c>
      <c r="D131" s="36">
        <v>1</v>
      </c>
      <c r="E131" s="47" t="s">
        <v>383</v>
      </c>
      <c r="F131" s="36" t="s">
        <v>45</v>
      </c>
      <c r="G131" s="36" t="s">
        <v>59</v>
      </c>
      <c r="H131" s="48">
        <v>1</v>
      </c>
      <c r="I131" s="28">
        <f>SUMIF(Task_hours!A$57:A$997, A131, Task_hours!H$57:H$997)</f>
        <v>1</v>
      </c>
      <c r="J131" s="36"/>
      <c r="K131" s="36" t="s">
        <v>10</v>
      </c>
      <c r="L131" s="49"/>
    </row>
    <row r="132" spans="1:12" ht="13.2" hidden="1">
      <c r="A132" s="15" t="s">
        <v>143</v>
      </c>
      <c r="B132" s="15">
        <v>3</v>
      </c>
      <c r="C132" s="22" t="s">
        <v>360</v>
      </c>
      <c r="D132" s="15">
        <v>1</v>
      </c>
      <c r="E132" s="50" t="s">
        <v>384</v>
      </c>
      <c r="F132" s="15" t="s">
        <v>52</v>
      </c>
      <c r="G132" s="15" t="s">
        <v>66</v>
      </c>
      <c r="H132" s="51">
        <v>1.5</v>
      </c>
      <c r="I132" s="23">
        <f>SUMIF(Task_hours!A$57:A$997, A132, Task_hours!H$57:H$997)</f>
        <v>2</v>
      </c>
      <c r="J132" s="15"/>
      <c r="K132" s="15" t="s">
        <v>10</v>
      </c>
      <c r="L132" s="52"/>
    </row>
    <row r="133" spans="1:12" ht="13.2" hidden="1">
      <c r="A133" s="36" t="s">
        <v>145</v>
      </c>
      <c r="B133" s="36">
        <v>3</v>
      </c>
      <c r="C133" s="27" t="s">
        <v>370</v>
      </c>
      <c r="D133" s="36">
        <v>2</v>
      </c>
      <c r="E133" s="47" t="s">
        <v>385</v>
      </c>
      <c r="F133" s="36" t="s">
        <v>45</v>
      </c>
      <c r="G133" s="36"/>
      <c r="H133" s="48">
        <v>1</v>
      </c>
      <c r="I133" s="28">
        <f>SUMIF(Task_hours!A$57:A$997, A133, Task_hours!H$57:H$997)</f>
        <v>1</v>
      </c>
      <c r="J133" s="36"/>
      <c r="K133" s="36" t="s">
        <v>10</v>
      </c>
      <c r="L133" s="49"/>
    </row>
    <row r="134" spans="1:12" ht="13.2">
      <c r="A134" s="15" t="s">
        <v>148</v>
      </c>
      <c r="B134" s="15">
        <v>4</v>
      </c>
      <c r="C134" s="22" t="s">
        <v>386</v>
      </c>
      <c r="D134" s="15">
        <v>1</v>
      </c>
      <c r="E134" s="50" t="s">
        <v>387</v>
      </c>
      <c r="F134" s="15" t="s">
        <v>49</v>
      </c>
      <c r="G134" s="15" t="s">
        <v>46</v>
      </c>
      <c r="H134" s="51">
        <v>3</v>
      </c>
      <c r="I134" s="23">
        <f>SUMIF(Task_hours!A$57:A$997, A134, Task_hours!H$57:H$997)</f>
        <v>3.5</v>
      </c>
      <c r="J134" s="15"/>
      <c r="K134" s="15" t="s">
        <v>10</v>
      </c>
      <c r="L134" s="52"/>
    </row>
    <row r="135" spans="1:12" ht="13.2">
      <c r="A135" s="36" t="s">
        <v>147</v>
      </c>
      <c r="B135" s="36">
        <v>4</v>
      </c>
      <c r="C135" s="27" t="s">
        <v>386</v>
      </c>
      <c r="D135" s="36">
        <v>1</v>
      </c>
      <c r="E135" s="47" t="s">
        <v>388</v>
      </c>
      <c r="F135" s="36" t="s">
        <v>46</v>
      </c>
      <c r="G135" s="36" t="s">
        <v>45</v>
      </c>
      <c r="H135" s="48">
        <v>6</v>
      </c>
      <c r="I135" s="28">
        <f>SUMIF(Task_hours!A$57:A$997, A135, Task_hours!H$57:H$997)</f>
        <v>5</v>
      </c>
      <c r="J135" s="36"/>
      <c r="K135" s="36" t="s">
        <v>10</v>
      </c>
      <c r="L135" s="49"/>
    </row>
    <row r="136" spans="1:12" ht="13.2">
      <c r="A136" s="15" t="s">
        <v>155</v>
      </c>
      <c r="B136" s="15">
        <v>4</v>
      </c>
      <c r="C136" s="22" t="s">
        <v>386</v>
      </c>
      <c r="D136" s="15">
        <v>1</v>
      </c>
      <c r="E136" s="50" t="s">
        <v>389</v>
      </c>
      <c r="F136" s="15" t="s">
        <v>46</v>
      </c>
      <c r="G136" s="15" t="s">
        <v>45</v>
      </c>
      <c r="H136" s="51">
        <v>5</v>
      </c>
      <c r="I136" s="23">
        <f>SUMIF(Task_hours!A$57:A$997, A136, Task_hours!H$57:H$997)</f>
        <v>5</v>
      </c>
      <c r="J136" s="15"/>
      <c r="K136" s="15" t="s">
        <v>10</v>
      </c>
      <c r="L136" s="52"/>
    </row>
    <row r="137" spans="1:12" ht="13.2">
      <c r="A137" s="36" t="s">
        <v>158</v>
      </c>
      <c r="B137" s="36">
        <v>4</v>
      </c>
      <c r="C137" s="27" t="s">
        <v>386</v>
      </c>
      <c r="D137" s="36">
        <v>1</v>
      </c>
      <c r="E137" s="47" t="s">
        <v>390</v>
      </c>
      <c r="F137" s="36" t="s">
        <v>45</v>
      </c>
      <c r="G137" s="36" t="s">
        <v>46</v>
      </c>
      <c r="H137" s="48">
        <v>4</v>
      </c>
      <c r="I137" s="28">
        <f>SUMIF(Task_hours!A$57:A$997, A137, Task_hours!H$57:H$997)</f>
        <v>1.5</v>
      </c>
      <c r="J137" s="36"/>
      <c r="K137" s="36" t="s">
        <v>10</v>
      </c>
      <c r="L137" s="49"/>
    </row>
    <row r="138" spans="1:12" ht="13.2">
      <c r="A138" s="15" t="s">
        <v>160</v>
      </c>
      <c r="B138" s="15">
        <v>4</v>
      </c>
      <c r="C138" s="22" t="s">
        <v>386</v>
      </c>
      <c r="D138" s="15">
        <v>1</v>
      </c>
      <c r="E138" s="50" t="s">
        <v>391</v>
      </c>
      <c r="F138" s="15" t="s">
        <v>45</v>
      </c>
      <c r="G138" s="15" t="s">
        <v>49</v>
      </c>
      <c r="H138" s="51">
        <v>3</v>
      </c>
      <c r="I138" s="23">
        <f>SUMIF(Task_hours!A$57:A$997, A138, Task_hours!H$57:H$997)</f>
        <v>1.5</v>
      </c>
      <c r="J138" s="15"/>
      <c r="K138" s="15" t="s">
        <v>10</v>
      </c>
      <c r="L138" s="52"/>
    </row>
    <row r="139" spans="1:12" ht="13.2">
      <c r="A139" s="36" t="s">
        <v>162</v>
      </c>
      <c r="B139" s="36">
        <v>4</v>
      </c>
      <c r="C139" s="27" t="s">
        <v>386</v>
      </c>
      <c r="D139" s="36">
        <v>1</v>
      </c>
      <c r="E139" s="47" t="s">
        <v>392</v>
      </c>
      <c r="F139" s="36" t="s">
        <v>45</v>
      </c>
      <c r="G139" s="36" t="s">
        <v>49</v>
      </c>
      <c r="H139" s="48">
        <v>2</v>
      </c>
      <c r="I139" s="28">
        <f>SUMIF(Task_hours!A$57:A$997, A139, Task_hours!H$57:H$997)</f>
        <v>0.5</v>
      </c>
      <c r="J139" s="36"/>
      <c r="K139" s="36" t="s">
        <v>10</v>
      </c>
      <c r="L139" s="49"/>
    </row>
    <row r="140" spans="1:12" ht="13.2">
      <c r="A140" s="15" t="s">
        <v>161</v>
      </c>
      <c r="B140" s="15">
        <v>4</v>
      </c>
      <c r="C140" s="22" t="s">
        <v>386</v>
      </c>
      <c r="D140" s="15">
        <v>1</v>
      </c>
      <c r="E140" s="50" t="s">
        <v>393</v>
      </c>
      <c r="F140" s="15" t="s">
        <v>49</v>
      </c>
      <c r="G140" s="15" t="s">
        <v>45</v>
      </c>
      <c r="H140" s="51">
        <v>2</v>
      </c>
      <c r="I140" s="23">
        <f>SUMIF(Task_hours!A$57:A$997, A140, Task_hours!H$57:H$997)</f>
        <v>0.5</v>
      </c>
      <c r="J140" s="15"/>
      <c r="K140" s="15" t="s">
        <v>10</v>
      </c>
      <c r="L140" s="52"/>
    </row>
    <row r="141" spans="1:12" ht="13.2">
      <c r="A141" s="36" t="s">
        <v>165</v>
      </c>
      <c r="B141" s="36">
        <v>4</v>
      </c>
      <c r="C141" s="27" t="s">
        <v>386</v>
      </c>
      <c r="D141" s="36">
        <v>1</v>
      </c>
      <c r="E141" s="47" t="s">
        <v>394</v>
      </c>
      <c r="F141" s="36" t="s">
        <v>45</v>
      </c>
      <c r="G141" s="36" t="s">
        <v>46</v>
      </c>
      <c r="H141" s="48">
        <v>2</v>
      </c>
      <c r="I141" s="28">
        <f>SUMIF(Task_hours!A$57:A$997, A141, Task_hours!H$57:H$997)</f>
        <v>1</v>
      </c>
      <c r="J141" s="36"/>
      <c r="K141" s="36" t="s">
        <v>10</v>
      </c>
      <c r="L141" s="49"/>
    </row>
    <row r="142" spans="1:12" ht="13.2">
      <c r="A142" s="15" t="s">
        <v>395</v>
      </c>
      <c r="B142" s="15">
        <v>4</v>
      </c>
      <c r="C142" s="22" t="s">
        <v>386</v>
      </c>
      <c r="D142" s="15">
        <v>2</v>
      </c>
      <c r="E142" s="50" t="s">
        <v>396</v>
      </c>
      <c r="F142" s="15" t="s">
        <v>45</v>
      </c>
      <c r="G142" s="15" t="s">
        <v>46</v>
      </c>
      <c r="H142" s="51">
        <v>0</v>
      </c>
      <c r="I142" s="23">
        <f>SUMIF(Task_hours!A$57:A$997, A142, Task_hours!H$57:H$997)</f>
        <v>0</v>
      </c>
      <c r="J142" s="15"/>
      <c r="K142" s="15" t="s">
        <v>10</v>
      </c>
      <c r="L142" s="52"/>
    </row>
    <row r="143" spans="1:12" ht="13.2">
      <c r="A143" s="36" t="s">
        <v>397</v>
      </c>
      <c r="B143" s="36">
        <v>4</v>
      </c>
      <c r="C143" s="27" t="s">
        <v>386</v>
      </c>
      <c r="D143" s="36">
        <v>2</v>
      </c>
      <c r="E143" s="47" t="s">
        <v>398</v>
      </c>
      <c r="F143" s="36" t="s">
        <v>45</v>
      </c>
      <c r="G143" s="36" t="s">
        <v>46</v>
      </c>
      <c r="H143" s="48">
        <v>0</v>
      </c>
      <c r="I143" s="28">
        <f>SUMIF(Task_hours!A$57:A$997, A143, Task_hours!H$57:H$997)</f>
        <v>0</v>
      </c>
      <c r="J143" s="36"/>
      <c r="K143" s="36" t="s">
        <v>10</v>
      </c>
      <c r="L143" s="49"/>
    </row>
    <row r="144" spans="1:12" ht="13.2">
      <c r="A144" s="15" t="s">
        <v>164</v>
      </c>
      <c r="B144" s="15">
        <v>4</v>
      </c>
      <c r="C144" s="22" t="s">
        <v>399</v>
      </c>
      <c r="D144" s="15">
        <v>2</v>
      </c>
      <c r="E144" s="50" t="s">
        <v>400</v>
      </c>
      <c r="F144" s="15" t="s">
        <v>53</v>
      </c>
      <c r="G144" s="15" t="s">
        <v>52</v>
      </c>
      <c r="H144" s="51">
        <v>1</v>
      </c>
      <c r="I144" s="23">
        <f>SUMIF(Task_hours!A$57:A$997, A144, Task_hours!H$57:H$997)</f>
        <v>1</v>
      </c>
      <c r="J144" s="15"/>
      <c r="K144" s="15" t="s">
        <v>10</v>
      </c>
      <c r="L144" s="52"/>
    </row>
    <row r="145" spans="1:12" ht="26.4">
      <c r="A145" s="36" t="s">
        <v>156</v>
      </c>
      <c r="B145" s="36">
        <v>4</v>
      </c>
      <c r="C145" s="27" t="s">
        <v>399</v>
      </c>
      <c r="D145" s="36">
        <v>2</v>
      </c>
      <c r="E145" s="47" t="s">
        <v>401</v>
      </c>
      <c r="F145" s="36" t="s">
        <v>52</v>
      </c>
      <c r="G145" s="36" t="s">
        <v>53</v>
      </c>
      <c r="H145" s="48">
        <v>1.5</v>
      </c>
      <c r="I145" s="28">
        <f>SUMIF(Task_hours!A$57:A$997, A145, Task_hours!H$57:H$997)</f>
        <v>2</v>
      </c>
      <c r="J145" s="36"/>
      <c r="K145" s="36" t="s">
        <v>10</v>
      </c>
      <c r="L145" s="49" t="s">
        <v>402</v>
      </c>
    </row>
    <row r="146" spans="1:12" ht="13.2">
      <c r="A146" s="15" t="s">
        <v>153</v>
      </c>
      <c r="B146" s="15">
        <v>4</v>
      </c>
      <c r="C146" s="22" t="s">
        <v>403</v>
      </c>
      <c r="D146" s="15">
        <v>1</v>
      </c>
      <c r="E146" s="50" t="s">
        <v>404</v>
      </c>
      <c r="F146" s="15" t="s">
        <v>49</v>
      </c>
      <c r="G146" s="15" t="s">
        <v>53</v>
      </c>
      <c r="H146" s="51">
        <v>5</v>
      </c>
      <c r="I146" s="23">
        <f>SUMIF(Task_hours!A$57:A$997, A146, Task_hours!H$57:H$997)</f>
        <v>3.5</v>
      </c>
      <c r="J146" s="15"/>
      <c r="K146" s="15" t="s">
        <v>10</v>
      </c>
      <c r="L146" s="52"/>
    </row>
    <row r="147" spans="1:12" ht="13.2">
      <c r="A147" s="36" t="s">
        <v>150</v>
      </c>
      <c r="B147" s="36">
        <v>4</v>
      </c>
      <c r="C147" s="27" t="s">
        <v>403</v>
      </c>
      <c r="D147" s="36">
        <v>1</v>
      </c>
      <c r="E147" s="47" t="s">
        <v>405</v>
      </c>
      <c r="F147" s="36" t="s">
        <v>53</v>
      </c>
      <c r="G147" s="36" t="s">
        <v>59</v>
      </c>
      <c r="H147" s="48">
        <v>8</v>
      </c>
      <c r="I147" s="28">
        <f>SUMIF(Task_hours!A$57:A$997, A147, Task_hours!H$57:H$997)</f>
        <v>11</v>
      </c>
      <c r="J147" s="36"/>
      <c r="K147" s="36" t="s">
        <v>10</v>
      </c>
      <c r="L147" s="49"/>
    </row>
    <row r="148" spans="1:12" ht="13.2">
      <c r="A148" s="15" t="s">
        <v>154</v>
      </c>
      <c r="B148" s="15">
        <v>4</v>
      </c>
      <c r="C148" s="22" t="s">
        <v>403</v>
      </c>
      <c r="D148" s="15">
        <v>1</v>
      </c>
      <c r="E148" s="50" t="s">
        <v>406</v>
      </c>
      <c r="F148" s="15" t="s">
        <v>52</v>
      </c>
      <c r="G148" s="15" t="s">
        <v>53</v>
      </c>
      <c r="H148" s="51">
        <v>2</v>
      </c>
      <c r="I148" s="23">
        <v>1.5</v>
      </c>
      <c r="J148" s="15"/>
      <c r="K148" s="15" t="s">
        <v>10</v>
      </c>
      <c r="L148" s="52"/>
    </row>
    <row r="149" spans="1:12" ht="13.2">
      <c r="A149" s="36" t="s">
        <v>152</v>
      </c>
      <c r="B149" s="36">
        <v>4</v>
      </c>
      <c r="C149" s="27" t="s">
        <v>407</v>
      </c>
      <c r="D149" s="36">
        <v>1</v>
      </c>
      <c r="E149" s="47" t="s">
        <v>408</v>
      </c>
      <c r="F149" s="36" t="s">
        <v>66</v>
      </c>
      <c r="G149" s="36" t="s">
        <v>45</v>
      </c>
      <c r="H149" s="48">
        <v>6</v>
      </c>
      <c r="I149" s="28">
        <f>SUMIF(Task_hours!A$57:A$997, A149, Task_hours!H$57:H$997)</f>
        <v>9</v>
      </c>
      <c r="J149" s="36"/>
      <c r="K149" s="36" t="s">
        <v>10</v>
      </c>
      <c r="L149" s="49"/>
    </row>
    <row r="150" spans="1:12" ht="13.2">
      <c r="A150" s="15" t="s">
        <v>151</v>
      </c>
      <c r="B150" s="15">
        <v>4</v>
      </c>
      <c r="C150" s="22" t="s">
        <v>407</v>
      </c>
      <c r="D150" s="15">
        <v>1</v>
      </c>
      <c r="E150" s="50" t="s">
        <v>409</v>
      </c>
      <c r="F150" s="15" t="s">
        <v>70</v>
      </c>
      <c r="G150" s="15" t="s">
        <v>63</v>
      </c>
      <c r="H150" s="51">
        <v>5</v>
      </c>
      <c r="I150" s="23">
        <f>SUMIF(Task_hours!A$57:A$997, A150, Task_hours!H$57:H$997)</f>
        <v>7</v>
      </c>
      <c r="J150" s="15"/>
      <c r="K150" s="15" t="s">
        <v>10</v>
      </c>
      <c r="L150" s="52"/>
    </row>
    <row r="151" spans="1:12" ht="13.2">
      <c r="A151" s="36" t="s">
        <v>149</v>
      </c>
      <c r="B151" s="36">
        <v>4</v>
      </c>
      <c r="C151" s="27" t="s">
        <v>407</v>
      </c>
      <c r="D151" s="36">
        <v>1</v>
      </c>
      <c r="E151" s="47" t="s">
        <v>410</v>
      </c>
      <c r="F151" s="36" t="s">
        <v>63</v>
      </c>
      <c r="G151" s="36" t="s">
        <v>56</v>
      </c>
      <c r="H151" s="48">
        <v>6</v>
      </c>
      <c r="I151" s="28">
        <f>SUMIF(Task_hours!A$57:A$997, A151, Task_hours!H$57:H$997)</f>
        <v>21</v>
      </c>
      <c r="J151" s="36"/>
      <c r="K151" s="36" t="s">
        <v>10</v>
      </c>
      <c r="L151" s="49"/>
    </row>
    <row r="152" spans="1:12" ht="13.2">
      <c r="A152" s="15" t="s">
        <v>146</v>
      </c>
      <c r="B152" s="15">
        <v>4</v>
      </c>
      <c r="C152" s="22" t="s">
        <v>411</v>
      </c>
      <c r="D152" s="15">
        <v>1</v>
      </c>
      <c r="E152" s="50" t="s">
        <v>412</v>
      </c>
      <c r="F152" s="15" t="s">
        <v>59</v>
      </c>
      <c r="G152" s="15" t="s">
        <v>46</v>
      </c>
      <c r="H152" s="51">
        <v>0.5</v>
      </c>
      <c r="I152" s="23">
        <f>SUMIF(Task_hours!A$57:A$997, A152, Task_hours!H$57:H$997)</f>
        <v>0.5</v>
      </c>
      <c r="J152" s="15"/>
      <c r="K152" s="15" t="s">
        <v>10</v>
      </c>
      <c r="L152" s="52"/>
    </row>
    <row r="153" spans="1:12" ht="13.2">
      <c r="A153" s="36" t="s">
        <v>178</v>
      </c>
      <c r="B153" s="36">
        <v>4</v>
      </c>
      <c r="C153" s="27" t="s">
        <v>411</v>
      </c>
      <c r="D153" s="36">
        <v>1</v>
      </c>
      <c r="E153" s="47" t="s">
        <v>413</v>
      </c>
      <c r="F153" s="36" t="s">
        <v>49</v>
      </c>
      <c r="G153" s="36" t="s">
        <v>53</v>
      </c>
      <c r="H153" s="48">
        <v>1</v>
      </c>
      <c r="I153" s="28">
        <f>SUMIF(Task_hours!A$57:A$997, A153, Task_hours!H$57:H$997)</f>
        <v>1.5</v>
      </c>
      <c r="J153" s="36"/>
      <c r="K153" s="36" t="s">
        <v>10</v>
      </c>
      <c r="L153" s="49"/>
    </row>
    <row r="154" spans="1:12" ht="13.2">
      <c r="A154" s="15" t="s">
        <v>179</v>
      </c>
      <c r="B154" s="15">
        <v>4</v>
      </c>
      <c r="C154" s="22" t="s">
        <v>411</v>
      </c>
      <c r="D154" s="15">
        <v>1</v>
      </c>
      <c r="E154" s="50" t="s">
        <v>414</v>
      </c>
      <c r="F154" s="15" t="s">
        <v>53</v>
      </c>
      <c r="G154" s="15" t="s">
        <v>49</v>
      </c>
      <c r="H154" s="51">
        <v>1</v>
      </c>
      <c r="I154" s="23">
        <f>SUMIF(Task_hours!A$57:A$997, A154, Task_hours!H$57:H$997)</f>
        <v>1.5</v>
      </c>
      <c r="J154" s="15"/>
      <c r="K154" s="15" t="s">
        <v>10</v>
      </c>
      <c r="L154" s="52"/>
    </row>
    <row r="155" spans="1:12" ht="13.2">
      <c r="A155" s="36" t="s">
        <v>415</v>
      </c>
      <c r="B155" s="36">
        <v>4</v>
      </c>
      <c r="C155" s="27" t="s">
        <v>411</v>
      </c>
      <c r="D155" s="36">
        <v>2</v>
      </c>
      <c r="E155" s="47" t="s">
        <v>416</v>
      </c>
      <c r="F155" s="36" t="s">
        <v>56</v>
      </c>
      <c r="G155" s="36" t="s">
        <v>45</v>
      </c>
      <c r="H155" s="48">
        <v>4</v>
      </c>
      <c r="I155" s="28">
        <f>SUMIF(Task_hours!A$57:A$997, A155, Task_hours!H$57:H$997)</f>
        <v>0</v>
      </c>
      <c r="J155" s="36"/>
      <c r="K155" s="36" t="s">
        <v>10</v>
      </c>
      <c r="L155" s="49"/>
    </row>
    <row r="156" spans="1:12" ht="13.2">
      <c r="A156" s="15" t="s">
        <v>157</v>
      </c>
      <c r="B156" s="15">
        <v>4</v>
      </c>
      <c r="C156" s="22" t="s">
        <v>411</v>
      </c>
      <c r="D156" s="15">
        <v>3</v>
      </c>
      <c r="E156" s="50" t="s">
        <v>417</v>
      </c>
      <c r="F156" s="15" t="s">
        <v>63</v>
      </c>
      <c r="G156" s="15" t="s">
        <v>59</v>
      </c>
      <c r="H156" s="51">
        <v>4</v>
      </c>
      <c r="I156" s="23">
        <f>SUMIF(Task_hours!A$57:A$997, A156, Task_hours!H$57:H$997)</f>
        <v>4</v>
      </c>
      <c r="J156" s="15"/>
      <c r="K156" s="15" t="s">
        <v>10</v>
      </c>
      <c r="L156" s="52"/>
    </row>
    <row r="157" spans="1:12" ht="13.2">
      <c r="A157" s="36" t="s">
        <v>172</v>
      </c>
      <c r="B157" s="36">
        <v>4</v>
      </c>
      <c r="C157" s="27" t="s">
        <v>411</v>
      </c>
      <c r="D157" s="36">
        <v>2</v>
      </c>
      <c r="E157" s="47" t="s">
        <v>418</v>
      </c>
      <c r="F157" s="36" t="s">
        <v>52</v>
      </c>
      <c r="G157" s="36"/>
      <c r="H157" s="48">
        <v>2</v>
      </c>
      <c r="I157" s="28">
        <v>1</v>
      </c>
      <c r="J157" s="36"/>
      <c r="K157" s="36" t="s">
        <v>10</v>
      </c>
      <c r="L157" s="49"/>
    </row>
    <row r="158" spans="1:12" ht="13.2">
      <c r="A158" s="15" t="s">
        <v>159</v>
      </c>
      <c r="B158" s="15">
        <v>4</v>
      </c>
      <c r="C158" s="22" t="s">
        <v>411</v>
      </c>
      <c r="D158" s="15">
        <v>1</v>
      </c>
      <c r="E158" s="50" t="s">
        <v>419</v>
      </c>
      <c r="F158" s="15" t="s">
        <v>59</v>
      </c>
      <c r="G158" s="15" t="s">
        <v>66</v>
      </c>
      <c r="H158" s="51">
        <v>3</v>
      </c>
      <c r="I158" s="23">
        <f>SUMIF(Task_hours!A$57:A$997, A158, Task_hours!H$57:H$997)</f>
        <v>2.5</v>
      </c>
      <c r="J158" s="15"/>
      <c r="K158" s="15" t="s">
        <v>10</v>
      </c>
      <c r="L158" s="52"/>
    </row>
    <row r="159" spans="1:12" ht="13.2">
      <c r="A159" s="36" t="s">
        <v>163</v>
      </c>
      <c r="B159" s="36">
        <v>4</v>
      </c>
      <c r="C159" s="27" t="s">
        <v>411</v>
      </c>
      <c r="D159" s="36">
        <v>1</v>
      </c>
      <c r="E159" s="47" t="s">
        <v>420</v>
      </c>
      <c r="F159" s="36" t="s">
        <v>52</v>
      </c>
      <c r="G159" s="36"/>
      <c r="H159" s="48">
        <v>2</v>
      </c>
      <c r="I159" s="28">
        <v>2.5</v>
      </c>
      <c r="J159" s="36"/>
      <c r="K159" s="36" t="s">
        <v>10</v>
      </c>
      <c r="L159" s="49"/>
    </row>
    <row r="160" spans="1:12" ht="13.2">
      <c r="A160" s="15" t="s">
        <v>188</v>
      </c>
      <c r="B160" s="15">
        <v>4</v>
      </c>
      <c r="C160" s="22" t="s">
        <v>411</v>
      </c>
      <c r="D160" s="15">
        <v>2</v>
      </c>
      <c r="E160" s="50" t="s">
        <v>421</v>
      </c>
      <c r="F160" s="15" t="s">
        <v>70</v>
      </c>
      <c r="G160" s="15" t="s">
        <v>52</v>
      </c>
      <c r="H160" s="51">
        <v>1</v>
      </c>
      <c r="I160" s="23">
        <v>1</v>
      </c>
      <c r="J160" s="15"/>
      <c r="K160" s="15" t="s">
        <v>10</v>
      </c>
      <c r="L160" s="52"/>
    </row>
    <row r="161" spans="1:12" ht="13.2">
      <c r="A161" s="36" t="s">
        <v>180</v>
      </c>
      <c r="B161" s="36">
        <v>4</v>
      </c>
      <c r="C161" s="27" t="s">
        <v>411</v>
      </c>
      <c r="D161" s="36">
        <v>2</v>
      </c>
      <c r="E161" s="47" t="s">
        <v>422</v>
      </c>
      <c r="F161" s="36" t="s">
        <v>52</v>
      </c>
      <c r="G161" s="36" t="s">
        <v>70</v>
      </c>
      <c r="H161" s="48">
        <v>0.5</v>
      </c>
      <c r="I161" s="28">
        <f>SUMIF(Task_hours!A$57:A$997, A161, Task_hours!H$57:H$997)</f>
        <v>1</v>
      </c>
      <c r="J161" s="36"/>
      <c r="K161" s="36" t="s">
        <v>10</v>
      </c>
      <c r="L161" s="49"/>
    </row>
    <row r="162" spans="1:12" ht="13.2">
      <c r="A162" s="15" t="s">
        <v>185</v>
      </c>
      <c r="B162" s="15">
        <v>4</v>
      </c>
      <c r="C162" s="22" t="s">
        <v>411</v>
      </c>
      <c r="D162" s="15">
        <v>2</v>
      </c>
      <c r="E162" s="50" t="s">
        <v>423</v>
      </c>
      <c r="F162" s="15" t="s">
        <v>52</v>
      </c>
      <c r="G162" s="15" t="s">
        <v>49</v>
      </c>
      <c r="H162" s="51">
        <v>2.5</v>
      </c>
      <c r="I162" s="23">
        <f>SUMIF(Task_hours!A$57:A$997, A162, Task_hours!H$57:H$997)</f>
        <v>1.5</v>
      </c>
      <c r="J162" s="15"/>
      <c r="K162" s="39" t="s">
        <v>10</v>
      </c>
      <c r="L162" s="52"/>
    </row>
    <row r="163" spans="1:12" ht="13.2">
      <c r="A163" s="36" t="s">
        <v>166</v>
      </c>
      <c r="B163" s="36">
        <v>4</v>
      </c>
      <c r="C163" s="27" t="s">
        <v>411</v>
      </c>
      <c r="D163" s="36">
        <v>1</v>
      </c>
      <c r="E163" s="47" t="s">
        <v>424</v>
      </c>
      <c r="F163" s="36" t="s">
        <v>52</v>
      </c>
      <c r="G163" s="36" t="s">
        <v>70</v>
      </c>
      <c r="H163" s="48">
        <v>2</v>
      </c>
      <c r="I163" s="28">
        <f>SUMIF(Task_hours!A$57:A$997, A163, Task_hours!H$57:H$997)</f>
        <v>0.5</v>
      </c>
      <c r="J163" s="36"/>
      <c r="K163" s="36" t="s">
        <v>10</v>
      </c>
      <c r="L163" s="49"/>
    </row>
    <row r="164" spans="1:12" ht="13.2">
      <c r="A164" s="15" t="s">
        <v>168</v>
      </c>
      <c r="B164" s="15">
        <v>4</v>
      </c>
      <c r="C164" s="22" t="s">
        <v>411</v>
      </c>
      <c r="D164" s="15">
        <v>1</v>
      </c>
      <c r="E164" s="50" t="s">
        <v>425</v>
      </c>
      <c r="F164" s="15" t="s">
        <v>70</v>
      </c>
      <c r="G164" s="15" t="s">
        <v>52</v>
      </c>
      <c r="H164" s="51">
        <v>1.5</v>
      </c>
      <c r="I164" s="23">
        <f>SUMIF(Task_hours!A$57:A$997, A164, Task_hours!H$57:H$997)</f>
        <v>2.5</v>
      </c>
      <c r="J164" s="15"/>
      <c r="K164" s="15" t="s">
        <v>10</v>
      </c>
      <c r="L164" s="52"/>
    </row>
    <row r="165" spans="1:12" ht="13.2">
      <c r="A165" s="36" t="s">
        <v>175</v>
      </c>
      <c r="B165" s="36">
        <v>4</v>
      </c>
      <c r="C165" s="27" t="s">
        <v>411</v>
      </c>
      <c r="D165" s="36">
        <v>1</v>
      </c>
      <c r="E165" s="47" t="s">
        <v>426</v>
      </c>
      <c r="F165" s="36" t="s">
        <v>45</v>
      </c>
      <c r="G165" s="36"/>
      <c r="H165" s="48">
        <v>2</v>
      </c>
      <c r="I165" s="28">
        <f>SUMIF(Task_hours!A$57:A$997, A165, Task_hours!H$57:H$997)</f>
        <v>1</v>
      </c>
      <c r="J165" s="36"/>
      <c r="K165" s="36" t="s">
        <v>10</v>
      </c>
      <c r="L165" s="49"/>
    </row>
    <row r="166" spans="1:12" ht="13.2">
      <c r="A166" s="15" t="s">
        <v>167</v>
      </c>
      <c r="B166" s="15">
        <v>4</v>
      </c>
      <c r="C166" s="22" t="s">
        <v>411</v>
      </c>
      <c r="D166" s="15">
        <v>1</v>
      </c>
      <c r="E166" s="50" t="s">
        <v>427</v>
      </c>
      <c r="F166" s="15" t="s">
        <v>49</v>
      </c>
      <c r="G166" s="15"/>
      <c r="H166" s="51">
        <v>1</v>
      </c>
      <c r="I166" s="23">
        <f>SUMIF(Task_hours!A$57:A$997, A166, Task_hours!H$57:H$997)</f>
        <v>2.5</v>
      </c>
      <c r="J166" s="15"/>
      <c r="K166" s="15" t="s">
        <v>10</v>
      </c>
      <c r="L166" s="52"/>
    </row>
    <row r="167" spans="1:12" ht="13.2">
      <c r="A167" s="36" t="s">
        <v>173</v>
      </c>
      <c r="B167" s="36">
        <v>4</v>
      </c>
      <c r="C167" s="27" t="s">
        <v>411</v>
      </c>
      <c r="D167" s="36">
        <v>1</v>
      </c>
      <c r="E167" s="47" t="s">
        <v>428</v>
      </c>
      <c r="F167" s="36" t="s">
        <v>49</v>
      </c>
      <c r="G167" s="36"/>
      <c r="H167" s="48">
        <v>1</v>
      </c>
      <c r="I167" s="28">
        <f>SUMIF(Task_hours!A$57:A$997, A167, Task_hours!H$57:H$997)</f>
        <v>0.5</v>
      </c>
      <c r="J167" s="36"/>
      <c r="K167" s="36" t="s">
        <v>10</v>
      </c>
      <c r="L167" s="49"/>
    </row>
    <row r="168" spans="1:12" ht="13.2">
      <c r="A168" s="15" t="s">
        <v>170</v>
      </c>
      <c r="B168" s="15">
        <v>4</v>
      </c>
      <c r="C168" s="22" t="s">
        <v>411</v>
      </c>
      <c r="D168" s="15">
        <v>1</v>
      </c>
      <c r="E168" s="50" t="s">
        <v>429</v>
      </c>
      <c r="F168" s="15" t="s">
        <v>49</v>
      </c>
      <c r="G168" s="15" t="s">
        <v>66</v>
      </c>
      <c r="H168" s="51">
        <v>1</v>
      </c>
      <c r="I168" s="23">
        <f>SUMIF(Task_hours!A$57:A$997, A168, Task_hours!H$57:H$997)</f>
        <v>0.5</v>
      </c>
      <c r="J168" s="15"/>
      <c r="K168" s="15" t="s">
        <v>10</v>
      </c>
      <c r="L168" s="52"/>
    </row>
    <row r="169" spans="1:12" ht="13.2">
      <c r="A169" s="36" t="s">
        <v>171</v>
      </c>
      <c r="B169" s="36">
        <v>4</v>
      </c>
      <c r="C169" s="27" t="s">
        <v>411</v>
      </c>
      <c r="D169" s="36">
        <v>1</v>
      </c>
      <c r="E169" s="47" t="s">
        <v>430</v>
      </c>
      <c r="F169" s="36" t="s">
        <v>49</v>
      </c>
      <c r="G169" s="36"/>
      <c r="H169" s="48">
        <v>0.5</v>
      </c>
      <c r="I169" s="28">
        <f>SUMIF(Task_hours!A$57:A$997, A169, Task_hours!H$57:H$997)</f>
        <v>0.5</v>
      </c>
      <c r="J169" s="36"/>
      <c r="K169" s="36" t="s">
        <v>10</v>
      </c>
      <c r="L169" s="49"/>
    </row>
    <row r="170" spans="1:12" ht="13.2">
      <c r="A170" s="15" t="s">
        <v>174</v>
      </c>
      <c r="B170" s="15">
        <v>4</v>
      </c>
      <c r="C170" s="22" t="s">
        <v>411</v>
      </c>
      <c r="D170" s="15">
        <v>2</v>
      </c>
      <c r="E170" s="50" t="s">
        <v>431</v>
      </c>
      <c r="F170" s="15" t="s">
        <v>66</v>
      </c>
      <c r="G170" s="15"/>
      <c r="H170" s="51">
        <v>5</v>
      </c>
      <c r="I170" s="23">
        <f>SUMIF(Task_hours!A$57:A$997, A170, Task_hours!H$57:H$997)</f>
        <v>5</v>
      </c>
      <c r="J170" s="15"/>
      <c r="K170" s="15" t="s">
        <v>10</v>
      </c>
      <c r="L170" s="52"/>
    </row>
    <row r="171" spans="1:12" ht="13.2">
      <c r="A171" s="36" t="s">
        <v>432</v>
      </c>
      <c r="B171" s="36">
        <v>4</v>
      </c>
      <c r="C171" s="27" t="s">
        <v>411</v>
      </c>
      <c r="D171" s="36">
        <v>1</v>
      </c>
      <c r="E171" s="47" t="s">
        <v>433</v>
      </c>
      <c r="F171" s="36" t="s">
        <v>52</v>
      </c>
      <c r="G171" s="36" t="s">
        <v>49</v>
      </c>
      <c r="H171" s="48">
        <v>4</v>
      </c>
      <c r="I171" s="28">
        <f>SUMIF(Task_hours!A$57:A$997, A171, Task_hours!H$57:H$997)</f>
        <v>0</v>
      </c>
      <c r="J171" s="36"/>
      <c r="K171" s="36" t="s">
        <v>10</v>
      </c>
      <c r="L171" s="49"/>
    </row>
    <row r="172" spans="1:12" ht="13.2">
      <c r="A172" s="15" t="s">
        <v>176</v>
      </c>
      <c r="B172" s="15">
        <v>4</v>
      </c>
      <c r="C172" s="22" t="s">
        <v>411</v>
      </c>
      <c r="D172" s="15">
        <v>1</v>
      </c>
      <c r="E172" s="50" t="s">
        <v>434</v>
      </c>
      <c r="F172" s="15" t="s">
        <v>49</v>
      </c>
      <c r="G172" s="15" t="s">
        <v>52</v>
      </c>
      <c r="H172" s="51">
        <v>3</v>
      </c>
      <c r="I172" s="23">
        <f>SUMIF(Task_hours!A$57:A$997, A172, Task_hours!H$57:H$997)</f>
        <v>3.5</v>
      </c>
      <c r="J172" s="15"/>
      <c r="K172" s="15" t="s">
        <v>10</v>
      </c>
      <c r="L172" s="52"/>
    </row>
    <row r="173" spans="1:12" ht="13.2">
      <c r="A173" s="36" t="s">
        <v>177</v>
      </c>
      <c r="B173" s="36">
        <v>4</v>
      </c>
      <c r="C173" s="27" t="s">
        <v>411</v>
      </c>
      <c r="D173" s="36">
        <v>1</v>
      </c>
      <c r="E173" s="47" t="s">
        <v>435</v>
      </c>
      <c r="F173" s="36" t="s">
        <v>52</v>
      </c>
      <c r="G173" s="36" t="s">
        <v>49</v>
      </c>
      <c r="H173" s="48">
        <v>5</v>
      </c>
      <c r="I173" s="28">
        <f>SUMIF(Task_hours!A$57:A$997, A173, Task_hours!H$57:H$997)</f>
        <v>7.5</v>
      </c>
      <c r="J173" s="36"/>
      <c r="K173" s="36" t="s">
        <v>10</v>
      </c>
      <c r="L173" s="49"/>
    </row>
    <row r="174" spans="1:12" ht="13.2">
      <c r="A174" s="15" t="s">
        <v>181</v>
      </c>
      <c r="B174" s="15">
        <v>4</v>
      </c>
      <c r="C174" s="22" t="s">
        <v>411</v>
      </c>
      <c r="D174" s="15">
        <v>1</v>
      </c>
      <c r="E174" s="50" t="s">
        <v>436</v>
      </c>
      <c r="F174" s="15" t="s">
        <v>52</v>
      </c>
      <c r="G174" s="15"/>
      <c r="H174" s="51">
        <v>2</v>
      </c>
      <c r="I174" s="23">
        <f>SUMIF(Task_hours!A$57:A$997, A174, Task_hours!H$57:H$997)</f>
        <v>2</v>
      </c>
      <c r="J174" s="15"/>
      <c r="K174" s="15" t="s">
        <v>10</v>
      </c>
      <c r="L174" s="52"/>
    </row>
    <row r="175" spans="1:12" ht="13.2">
      <c r="A175" s="36" t="s">
        <v>184</v>
      </c>
      <c r="B175" s="36">
        <v>4</v>
      </c>
      <c r="C175" s="27" t="s">
        <v>411</v>
      </c>
      <c r="D175" s="36">
        <v>2</v>
      </c>
      <c r="E175" s="47" t="s">
        <v>437</v>
      </c>
      <c r="F175" s="36" t="s">
        <v>52</v>
      </c>
      <c r="G175" s="36" t="s">
        <v>63</v>
      </c>
      <c r="H175" s="48">
        <v>0.5</v>
      </c>
      <c r="I175" s="28">
        <f>SUMIF(Task_hours!A$57:A$997, A175, Task_hours!H$57:H$997)</f>
        <v>0.5</v>
      </c>
      <c r="J175" s="36"/>
      <c r="K175" s="44" t="s">
        <v>10</v>
      </c>
      <c r="L175" s="49"/>
    </row>
    <row r="176" spans="1:12" ht="13.2">
      <c r="A176" s="15" t="s">
        <v>183</v>
      </c>
      <c r="B176" s="15">
        <v>4</v>
      </c>
      <c r="C176" s="22" t="s">
        <v>411</v>
      </c>
      <c r="D176" s="15">
        <v>2</v>
      </c>
      <c r="E176" s="50" t="s">
        <v>438</v>
      </c>
      <c r="F176" s="15" t="s">
        <v>53</v>
      </c>
      <c r="G176" s="15"/>
      <c r="H176" s="51">
        <v>2</v>
      </c>
      <c r="I176" s="23">
        <f>SUMIF(Task_hours!A$57:A$997, A176, Task_hours!H$57:H$997)</f>
        <v>2.5</v>
      </c>
      <c r="J176" s="15"/>
      <c r="K176" s="15" t="s">
        <v>10</v>
      </c>
      <c r="L176" s="52"/>
    </row>
    <row r="177" spans="1:12" ht="13.2">
      <c r="A177" s="36" t="s">
        <v>182</v>
      </c>
      <c r="B177" s="36">
        <v>4</v>
      </c>
      <c r="C177" s="27" t="s">
        <v>411</v>
      </c>
      <c r="D177" s="36">
        <v>2</v>
      </c>
      <c r="E177" s="47" t="s">
        <v>439</v>
      </c>
      <c r="F177" s="36" t="s">
        <v>53</v>
      </c>
      <c r="G177" s="36" t="s">
        <v>56</v>
      </c>
      <c r="H177" s="48">
        <v>1</v>
      </c>
      <c r="I177" s="28">
        <f>SUMIF(Task_hours!A$57:A$997, A177, Task_hours!H$57:H$997)</f>
        <v>2</v>
      </c>
      <c r="J177" s="36"/>
      <c r="K177" s="36" t="s">
        <v>10</v>
      </c>
      <c r="L177" s="49"/>
    </row>
    <row r="178" spans="1:12" ht="13.2">
      <c r="A178" s="15" t="s">
        <v>190</v>
      </c>
      <c r="B178" s="15">
        <v>4</v>
      </c>
      <c r="C178" s="22" t="s">
        <v>411</v>
      </c>
      <c r="D178" s="15">
        <v>2</v>
      </c>
      <c r="E178" s="50" t="s">
        <v>440</v>
      </c>
      <c r="F178" s="15" t="s">
        <v>56</v>
      </c>
      <c r="G178" s="15"/>
      <c r="H178" s="51">
        <v>0.5</v>
      </c>
      <c r="I178" s="23">
        <f>SUMIF(Task_hours!A$57:A$997, A178, Task_hours!H$57:H$997)</f>
        <v>1</v>
      </c>
      <c r="J178" s="15"/>
      <c r="K178" s="55" t="s">
        <v>10</v>
      </c>
      <c r="L178" s="52"/>
    </row>
    <row r="179" spans="1:12" ht="13.2">
      <c r="A179" s="44" t="s">
        <v>186</v>
      </c>
      <c r="B179" s="44">
        <v>4</v>
      </c>
      <c r="C179" s="61" t="s">
        <v>411</v>
      </c>
      <c r="D179" s="44">
        <v>1</v>
      </c>
      <c r="E179" s="47" t="s">
        <v>441</v>
      </c>
      <c r="F179" s="36"/>
      <c r="G179" s="36"/>
      <c r="H179" s="48">
        <v>4</v>
      </c>
      <c r="I179" s="28">
        <f>SUMIF(Task_hours!A$57:A$997, A179, Task_hours!H$57:H$997)</f>
        <v>4</v>
      </c>
      <c r="J179" s="36"/>
      <c r="K179" s="36" t="s">
        <v>10</v>
      </c>
      <c r="L179" s="49"/>
    </row>
    <row r="180" spans="1:12" ht="13.2">
      <c r="A180" s="15" t="s">
        <v>193</v>
      </c>
      <c r="B180" s="39">
        <v>4</v>
      </c>
      <c r="C180" s="54" t="s">
        <v>411</v>
      </c>
      <c r="D180" s="39">
        <v>1</v>
      </c>
      <c r="E180" s="50" t="s">
        <v>442</v>
      </c>
      <c r="F180" s="15" t="s">
        <v>53</v>
      </c>
      <c r="G180" s="15"/>
      <c r="H180" s="51">
        <v>1</v>
      </c>
      <c r="I180" s="23">
        <f>SUMIF(Task_hours!A$57:A$997, A180, Task_hours!H$57:H$997)</f>
        <v>1.5</v>
      </c>
      <c r="J180" s="15"/>
      <c r="K180" s="15" t="s">
        <v>10</v>
      </c>
      <c r="L180" s="52"/>
    </row>
    <row r="181" spans="1:12" ht="13.2">
      <c r="A181" s="44" t="s">
        <v>191</v>
      </c>
      <c r="B181" s="44">
        <v>4</v>
      </c>
      <c r="C181" s="61" t="s">
        <v>411</v>
      </c>
      <c r="D181" s="36">
        <v>1</v>
      </c>
      <c r="E181" s="47" t="s">
        <v>443</v>
      </c>
      <c r="F181" s="36" t="s">
        <v>70</v>
      </c>
      <c r="G181" s="36" t="s">
        <v>53</v>
      </c>
      <c r="H181" s="48">
        <v>0.5</v>
      </c>
      <c r="I181" s="28">
        <f>SUMIF(Task_hours!A$57:A$997, A181, Task_hours!H$57:H$997)</f>
        <v>0.5</v>
      </c>
      <c r="J181" s="36"/>
      <c r="K181" s="36" t="s">
        <v>10</v>
      </c>
      <c r="L181" s="49"/>
    </row>
    <row r="182" spans="1:12" ht="13.2">
      <c r="A182" s="15" t="s">
        <v>192</v>
      </c>
      <c r="B182" s="55">
        <v>4</v>
      </c>
      <c r="C182" s="54" t="s">
        <v>411</v>
      </c>
      <c r="D182" s="15">
        <v>2</v>
      </c>
      <c r="E182" s="70" t="s">
        <v>444</v>
      </c>
      <c r="F182" s="15" t="s">
        <v>59</v>
      </c>
      <c r="G182" s="15" t="s">
        <v>63</v>
      </c>
      <c r="H182" s="51">
        <v>4</v>
      </c>
      <c r="I182" s="23">
        <f>SUMIF(Task_hours!A$57:A$997, A182, Task_hours!H$57:H$997)</f>
        <v>4</v>
      </c>
      <c r="J182" s="15"/>
      <c r="K182" s="15" t="s">
        <v>10</v>
      </c>
      <c r="L182" s="52"/>
    </row>
    <row r="183" spans="1:12" ht="13.2">
      <c r="A183" s="36" t="s">
        <v>187</v>
      </c>
      <c r="B183" s="44">
        <v>4</v>
      </c>
      <c r="C183" s="61" t="s">
        <v>411</v>
      </c>
      <c r="D183" s="36">
        <v>1</v>
      </c>
      <c r="E183" s="68" t="s">
        <v>445</v>
      </c>
      <c r="F183" s="36" t="s">
        <v>46</v>
      </c>
      <c r="G183" s="36"/>
      <c r="H183" s="48">
        <v>2</v>
      </c>
      <c r="I183" s="28">
        <f>SUMIF(Task_hours!A$57:A$997, A183, Task_hours!H$57:H$997)</f>
        <v>2</v>
      </c>
      <c r="J183" s="36"/>
      <c r="K183" s="36" t="s">
        <v>10</v>
      </c>
      <c r="L183" s="49"/>
    </row>
    <row r="184" spans="1:12" ht="13.2">
      <c r="A184" s="39" t="s">
        <v>189</v>
      </c>
      <c r="B184" s="39">
        <v>4</v>
      </c>
      <c r="C184" s="54" t="s">
        <v>411</v>
      </c>
      <c r="D184" s="15">
        <v>1</v>
      </c>
      <c r="E184" s="50" t="s">
        <v>446</v>
      </c>
      <c r="F184" s="15" t="s">
        <v>53</v>
      </c>
      <c r="G184" s="15" t="s">
        <v>70</v>
      </c>
      <c r="H184" s="51">
        <v>2</v>
      </c>
      <c r="I184" s="23">
        <f>SUMIF(Task_hours!A$57:A$997, A184, Task_hours!H$57:H$997)</f>
        <v>2</v>
      </c>
      <c r="J184" s="15"/>
      <c r="K184" s="15" t="s">
        <v>10</v>
      </c>
      <c r="L184" s="52"/>
    </row>
    <row r="185" spans="1:12" ht="13.2">
      <c r="A185" s="36"/>
      <c r="B185" s="36"/>
      <c r="C185" s="27"/>
      <c r="D185" s="36"/>
      <c r="E185" s="47"/>
      <c r="F185" s="36"/>
      <c r="G185" s="36"/>
      <c r="H185" s="48"/>
      <c r="I185" s="28"/>
      <c r="J185" s="36"/>
      <c r="K185" s="36"/>
      <c r="L185" s="49"/>
    </row>
    <row r="186" spans="1:12" ht="13.2">
      <c r="A186" s="15"/>
      <c r="B186" s="15"/>
      <c r="C186" s="22"/>
      <c r="D186" s="15"/>
      <c r="E186" s="50"/>
      <c r="F186" s="15"/>
      <c r="G186" s="15"/>
      <c r="H186" s="51"/>
      <c r="I186" s="23"/>
      <c r="J186" s="15"/>
      <c r="K186" s="15"/>
      <c r="L186" s="52"/>
    </row>
    <row r="187" spans="1:12" ht="13.2">
      <c r="A187" s="36"/>
      <c r="B187" s="36"/>
      <c r="C187" s="27"/>
      <c r="D187" s="36"/>
      <c r="E187" s="47"/>
      <c r="F187" s="36"/>
      <c r="G187" s="36"/>
      <c r="H187" s="48"/>
      <c r="I187" s="28"/>
      <c r="J187" s="36"/>
      <c r="K187" s="36"/>
      <c r="L187" s="49"/>
    </row>
    <row r="188" spans="1:12" ht="13.2">
      <c r="A188" s="15"/>
      <c r="B188" s="15"/>
      <c r="C188" s="22"/>
      <c r="D188" s="15"/>
      <c r="E188" s="50"/>
      <c r="F188" s="15"/>
      <c r="G188" s="15"/>
      <c r="H188" s="51"/>
      <c r="I188" s="23"/>
      <c r="J188" s="15"/>
      <c r="K188" s="15"/>
      <c r="L188" s="52"/>
    </row>
    <row r="189" spans="1:12" ht="13.2">
      <c r="A189" s="36"/>
      <c r="B189" s="36"/>
      <c r="C189" s="27"/>
      <c r="D189" s="36"/>
      <c r="E189" s="47"/>
      <c r="F189" s="36"/>
      <c r="G189" s="36"/>
      <c r="H189" s="48"/>
      <c r="I189" s="28"/>
      <c r="J189" s="36"/>
      <c r="K189" s="36"/>
      <c r="L189" s="49"/>
    </row>
    <row r="190" spans="1:12" ht="13.2">
      <c r="A190" s="15"/>
      <c r="B190" s="15"/>
      <c r="C190" s="22"/>
      <c r="D190" s="15"/>
      <c r="E190" s="50"/>
      <c r="F190" s="15"/>
      <c r="G190" s="15"/>
      <c r="H190" s="51"/>
      <c r="I190" s="23"/>
      <c r="J190" s="15"/>
      <c r="K190" s="15"/>
      <c r="L190" s="52"/>
    </row>
    <row r="191" spans="1:12" ht="13.2">
      <c r="A191" s="36"/>
      <c r="B191" s="36"/>
      <c r="C191" s="27"/>
      <c r="D191" s="36"/>
      <c r="E191" s="47"/>
      <c r="F191" s="36"/>
      <c r="G191" s="36"/>
      <c r="H191" s="48"/>
      <c r="I191" s="28"/>
      <c r="J191" s="36"/>
      <c r="K191" s="36"/>
      <c r="L191" s="49"/>
    </row>
    <row r="192" spans="1:12" ht="13.2">
      <c r="A192" s="15"/>
      <c r="B192" s="15"/>
      <c r="C192" s="22"/>
      <c r="D192" s="15"/>
      <c r="E192" s="50"/>
      <c r="F192" s="15"/>
      <c r="G192" s="15"/>
      <c r="H192" s="51"/>
      <c r="I192" s="23"/>
      <c r="J192" s="15"/>
      <c r="K192" s="15"/>
      <c r="L192" s="52"/>
    </row>
    <row r="193" spans="1:12" ht="13.2">
      <c r="A193" s="36"/>
      <c r="B193" s="36"/>
      <c r="C193" s="27"/>
      <c r="D193" s="36"/>
      <c r="E193" s="47"/>
      <c r="F193" s="36"/>
      <c r="G193" s="36"/>
      <c r="H193" s="48"/>
      <c r="I193" s="28"/>
      <c r="J193" s="36"/>
      <c r="K193" s="36"/>
      <c r="L193" s="49"/>
    </row>
    <row r="194" spans="1:12" ht="13.2">
      <c r="A194" s="15"/>
      <c r="B194" s="15"/>
      <c r="C194" s="22"/>
      <c r="D194" s="15"/>
      <c r="E194" s="50"/>
      <c r="F194" s="15"/>
      <c r="G194" s="15"/>
      <c r="H194" s="51"/>
      <c r="I194" s="23"/>
      <c r="J194" s="15"/>
      <c r="K194" s="15"/>
      <c r="L194" s="52"/>
    </row>
    <row r="195" spans="1:12" ht="13.2">
      <c r="A195" s="36"/>
      <c r="B195" s="36"/>
      <c r="C195" s="27"/>
      <c r="D195" s="36"/>
      <c r="E195" s="47"/>
      <c r="F195" s="36"/>
      <c r="G195" s="36"/>
      <c r="H195" s="48"/>
      <c r="I195" s="28"/>
      <c r="J195" s="36"/>
      <c r="K195" s="36"/>
      <c r="L195" s="49"/>
    </row>
    <row r="196" spans="1:12" ht="13.2">
      <c r="A196" s="15"/>
      <c r="B196" s="15"/>
      <c r="C196" s="22"/>
      <c r="D196" s="15"/>
      <c r="E196" s="50"/>
      <c r="F196" s="15"/>
      <c r="G196" s="15"/>
      <c r="H196" s="51"/>
      <c r="I196" s="23"/>
      <c r="J196" s="15"/>
      <c r="K196" s="15"/>
      <c r="L196" s="52"/>
    </row>
    <row r="197" spans="1:12" ht="13.2">
      <c r="A197" s="36"/>
      <c r="B197" s="36"/>
      <c r="C197" s="27"/>
      <c r="D197" s="36"/>
      <c r="E197" s="47"/>
      <c r="F197" s="36"/>
      <c r="G197" s="36"/>
      <c r="H197" s="48"/>
      <c r="I197" s="28"/>
      <c r="J197" s="36"/>
      <c r="K197" s="36"/>
      <c r="L197" s="49"/>
    </row>
    <row r="198" spans="1:12" ht="13.2">
      <c r="A198" s="15"/>
      <c r="B198" s="15"/>
      <c r="C198" s="22"/>
      <c r="D198" s="15"/>
      <c r="E198" s="50"/>
      <c r="F198" s="15"/>
      <c r="G198" s="15"/>
      <c r="H198" s="51"/>
      <c r="I198" s="23"/>
      <c r="J198" s="15"/>
      <c r="K198" s="15"/>
      <c r="L198" s="52"/>
    </row>
    <row r="199" spans="1:12" ht="13.2">
      <c r="A199" s="36"/>
      <c r="B199" s="36"/>
      <c r="C199" s="27"/>
      <c r="D199" s="36"/>
      <c r="E199" s="47"/>
      <c r="F199" s="36"/>
      <c r="G199" s="36"/>
      <c r="H199" s="48"/>
      <c r="I199" s="28"/>
      <c r="J199" s="36"/>
      <c r="K199" s="36"/>
      <c r="L199" s="49"/>
    </row>
    <row r="200" spans="1:12" ht="13.2">
      <c r="A200" s="15"/>
      <c r="B200" s="15"/>
      <c r="C200" s="22"/>
      <c r="D200" s="15"/>
      <c r="E200" s="50"/>
      <c r="F200" s="15"/>
      <c r="G200" s="15"/>
      <c r="H200" s="51"/>
      <c r="I200" s="23"/>
      <c r="J200" s="15"/>
      <c r="K200" s="15"/>
      <c r="L200" s="52"/>
    </row>
    <row r="201" spans="1:12" ht="13.2">
      <c r="A201" s="36"/>
      <c r="B201" s="36"/>
      <c r="C201" s="27"/>
      <c r="D201" s="36"/>
      <c r="E201" s="47"/>
      <c r="F201" s="36"/>
      <c r="G201" s="36"/>
      <c r="H201" s="48"/>
      <c r="I201" s="28"/>
      <c r="J201" s="36"/>
      <c r="K201" s="36"/>
      <c r="L201" s="49"/>
    </row>
    <row r="202" spans="1:12" ht="13.2">
      <c r="A202" s="15"/>
      <c r="B202" s="15"/>
      <c r="C202" s="22"/>
      <c r="D202" s="15"/>
      <c r="E202" s="50"/>
      <c r="F202" s="15"/>
      <c r="G202" s="15"/>
      <c r="H202" s="51"/>
      <c r="I202" s="23"/>
      <c r="J202" s="15"/>
      <c r="K202" s="15"/>
      <c r="L202" s="52"/>
    </row>
    <row r="203" spans="1:12" ht="13.2">
      <c r="A203" s="36"/>
      <c r="B203" s="36"/>
      <c r="C203" s="27"/>
      <c r="D203" s="36"/>
      <c r="E203" s="47"/>
      <c r="F203" s="36"/>
      <c r="G203" s="36"/>
      <c r="H203" s="48"/>
      <c r="I203" s="28"/>
      <c r="J203" s="36"/>
      <c r="K203" s="36"/>
      <c r="L203" s="49"/>
    </row>
    <row r="204" spans="1:12" ht="13.2">
      <c r="A204" s="15"/>
      <c r="B204" s="15"/>
      <c r="C204" s="22"/>
      <c r="D204" s="15"/>
      <c r="E204" s="50"/>
      <c r="F204" s="15"/>
      <c r="G204" s="15"/>
      <c r="H204" s="51"/>
      <c r="I204" s="23"/>
      <c r="J204" s="15"/>
      <c r="K204" s="15"/>
      <c r="L204" s="52"/>
    </row>
    <row r="205" spans="1:12" ht="13.2">
      <c r="A205" s="36"/>
      <c r="B205" s="36"/>
      <c r="C205" s="27"/>
      <c r="D205" s="36"/>
      <c r="E205" s="47"/>
      <c r="F205" s="36"/>
      <c r="G205" s="36"/>
      <c r="H205" s="48"/>
      <c r="I205" s="28"/>
      <c r="J205" s="36"/>
      <c r="K205" s="36"/>
      <c r="L205" s="49"/>
    </row>
    <row r="206" spans="1:12" ht="13.2">
      <c r="A206" s="15"/>
      <c r="B206" s="15"/>
      <c r="C206" s="22"/>
      <c r="D206" s="15"/>
      <c r="E206" s="50"/>
      <c r="F206" s="15"/>
      <c r="G206" s="15"/>
      <c r="H206" s="51"/>
      <c r="I206" s="23"/>
      <c r="J206" s="15"/>
      <c r="K206" s="15"/>
      <c r="L206" s="52"/>
    </row>
    <row r="207" spans="1:12" ht="13.2">
      <c r="A207" s="36"/>
      <c r="B207" s="36"/>
      <c r="C207" s="27"/>
      <c r="D207" s="36"/>
      <c r="E207" s="47"/>
      <c r="F207" s="36"/>
      <c r="G207" s="36"/>
      <c r="H207" s="48"/>
      <c r="I207" s="28"/>
      <c r="J207" s="36"/>
      <c r="K207" s="36"/>
      <c r="L207" s="49"/>
    </row>
    <row r="208" spans="1:12" ht="13.2">
      <c r="A208" s="15"/>
      <c r="B208" s="15"/>
      <c r="C208" s="22"/>
      <c r="D208" s="15"/>
      <c r="E208" s="50"/>
      <c r="F208" s="15"/>
      <c r="G208" s="15"/>
      <c r="H208" s="51"/>
      <c r="I208" s="23"/>
      <c r="J208" s="15"/>
      <c r="K208" s="15"/>
      <c r="L208" s="52"/>
    </row>
    <row r="209" spans="1:12" ht="13.2">
      <c r="A209" s="36"/>
      <c r="B209" s="36"/>
      <c r="C209" s="27"/>
      <c r="D209" s="36"/>
      <c r="E209" s="47"/>
      <c r="F209" s="36"/>
      <c r="G209" s="36"/>
      <c r="H209" s="48"/>
      <c r="I209" s="28"/>
      <c r="J209" s="36"/>
      <c r="K209" s="36"/>
      <c r="L209" s="49"/>
    </row>
    <row r="210" spans="1:12" ht="13.2">
      <c r="A210" s="15"/>
      <c r="B210" s="15"/>
      <c r="C210" s="22"/>
      <c r="D210" s="15"/>
      <c r="E210" s="50"/>
      <c r="F210" s="15"/>
      <c r="G210" s="15"/>
      <c r="H210" s="51"/>
      <c r="I210" s="23"/>
      <c r="J210" s="15"/>
      <c r="K210" s="15"/>
      <c r="L210" s="52"/>
    </row>
    <row r="211" spans="1:12" ht="13.2">
      <c r="A211" s="36"/>
      <c r="B211" s="36"/>
      <c r="C211" s="27"/>
      <c r="D211" s="36"/>
      <c r="E211" s="47"/>
      <c r="F211" s="36"/>
      <c r="G211" s="36"/>
      <c r="H211" s="48"/>
      <c r="I211" s="28"/>
      <c r="J211" s="36"/>
      <c r="K211" s="36"/>
      <c r="L211" s="49"/>
    </row>
    <row r="212" spans="1:12" ht="13.2">
      <c r="A212" s="15"/>
      <c r="B212" s="15"/>
      <c r="C212" s="22"/>
      <c r="D212" s="15"/>
      <c r="E212" s="50"/>
      <c r="F212" s="15"/>
      <c r="G212" s="15"/>
      <c r="H212" s="51"/>
      <c r="I212" s="23"/>
      <c r="J212" s="15"/>
      <c r="K212" s="15"/>
      <c r="L212" s="52"/>
    </row>
    <row r="213" spans="1:12" ht="13.2">
      <c r="A213" s="36"/>
      <c r="B213" s="36"/>
      <c r="C213" s="27"/>
      <c r="D213" s="36"/>
      <c r="E213" s="47"/>
      <c r="F213" s="36"/>
      <c r="G213" s="36"/>
      <c r="H213" s="48"/>
      <c r="I213" s="28"/>
      <c r="J213" s="36"/>
      <c r="K213" s="36"/>
      <c r="L213" s="49"/>
    </row>
    <row r="214" spans="1:12" ht="13.2">
      <c r="A214" s="15"/>
      <c r="B214" s="15"/>
      <c r="C214" s="22"/>
      <c r="D214" s="15"/>
      <c r="E214" s="50"/>
      <c r="F214" s="15"/>
      <c r="G214" s="15"/>
      <c r="H214" s="51"/>
      <c r="I214" s="23"/>
      <c r="J214" s="15"/>
      <c r="K214" s="15"/>
      <c r="L214" s="52"/>
    </row>
    <row r="215" spans="1:12" ht="13.2">
      <c r="A215" s="36"/>
      <c r="B215" s="36"/>
      <c r="C215" s="27"/>
      <c r="D215" s="36"/>
      <c r="E215" s="47"/>
      <c r="F215" s="36"/>
      <c r="G215" s="36"/>
      <c r="H215" s="48"/>
      <c r="I215" s="28"/>
      <c r="J215" s="36"/>
      <c r="K215" s="36"/>
      <c r="L215" s="49"/>
    </row>
    <row r="216" spans="1:12" ht="13.2">
      <c r="A216" s="15"/>
      <c r="B216" s="15"/>
      <c r="C216" s="22"/>
      <c r="D216" s="15"/>
      <c r="E216" s="50"/>
      <c r="F216" s="15"/>
      <c r="G216" s="15"/>
      <c r="H216" s="51"/>
      <c r="I216" s="23"/>
      <c r="J216" s="15"/>
      <c r="K216" s="15"/>
      <c r="L216" s="52"/>
    </row>
    <row r="217" spans="1:12" ht="13.2">
      <c r="A217" s="36"/>
      <c r="B217" s="36"/>
      <c r="C217" s="27"/>
      <c r="D217" s="36"/>
      <c r="E217" s="47"/>
      <c r="F217" s="36"/>
      <c r="G217" s="36"/>
      <c r="H217" s="48"/>
      <c r="I217" s="28"/>
      <c r="J217" s="36"/>
      <c r="K217" s="36"/>
      <c r="L217" s="49"/>
    </row>
    <row r="218" spans="1:12" ht="13.2">
      <c r="A218" s="15"/>
      <c r="B218" s="15"/>
      <c r="C218" s="22"/>
      <c r="D218" s="15"/>
      <c r="E218" s="50"/>
      <c r="F218" s="15"/>
      <c r="G218" s="15"/>
      <c r="H218" s="51"/>
      <c r="I218" s="23"/>
      <c r="J218" s="15"/>
      <c r="K218" s="15"/>
      <c r="L218" s="52"/>
    </row>
    <row r="219" spans="1:12" ht="13.2">
      <c r="A219" s="36"/>
      <c r="B219" s="36"/>
      <c r="C219" s="27"/>
      <c r="D219" s="36"/>
      <c r="E219" s="47"/>
      <c r="F219" s="36"/>
      <c r="G219" s="36"/>
      <c r="H219" s="48"/>
      <c r="I219" s="28"/>
      <c r="J219" s="36"/>
      <c r="K219" s="36"/>
      <c r="L219" s="49"/>
    </row>
    <row r="220" spans="1:12" ht="13.2">
      <c r="A220" s="15"/>
      <c r="B220" s="15"/>
      <c r="C220" s="22"/>
      <c r="D220" s="15"/>
      <c r="E220" s="50"/>
      <c r="F220" s="15"/>
      <c r="G220" s="15"/>
      <c r="H220" s="51"/>
      <c r="I220" s="23"/>
      <c r="J220" s="15"/>
      <c r="K220" s="15"/>
      <c r="L220" s="52"/>
    </row>
    <row r="221" spans="1:12" ht="13.2">
      <c r="A221" s="36"/>
      <c r="B221" s="36"/>
      <c r="C221" s="27"/>
      <c r="D221" s="36"/>
      <c r="E221" s="47"/>
      <c r="F221" s="36"/>
      <c r="G221" s="36"/>
      <c r="H221" s="48"/>
      <c r="I221" s="28"/>
      <c r="J221" s="36"/>
      <c r="K221" s="36"/>
      <c r="L221" s="49"/>
    </row>
    <row r="222" spans="1:12" ht="13.2">
      <c r="A222" s="15"/>
      <c r="B222" s="15"/>
      <c r="C222" s="22"/>
      <c r="D222" s="15"/>
      <c r="E222" s="50"/>
      <c r="F222" s="15"/>
      <c r="G222" s="15"/>
      <c r="H222" s="51"/>
      <c r="I222" s="23"/>
      <c r="J222" s="15"/>
      <c r="K222" s="15"/>
      <c r="L222" s="52"/>
    </row>
    <row r="223" spans="1:12" ht="13.2">
      <c r="A223" s="36"/>
      <c r="B223" s="36"/>
      <c r="C223" s="27"/>
      <c r="D223" s="36"/>
      <c r="E223" s="47"/>
      <c r="F223" s="36"/>
      <c r="G223" s="36"/>
      <c r="H223" s="48"/>
      <c r="I223" s="28"/>
      <c r="J223" s="36"/>
      <c r="K223" s="36"/>
      <c r="L223" s="49"/>
    </row>
    <row r="224" spans="1:12" ht="13.2">
      <c r="A224" s="15"/>
      <c r="B224" s="15"/>
      <c r="C224" s="22"/>
      <c r="D224" s="15"/>
      <c r="E224" s="50"/>
      <c r="F224" s="15"/>
      <c r="G224" s="15"/>
      <c r="H224" s="51"/>
      <c r="I224" s="23"/>
      <c r="J224" s="15"/>
      <c r="K224" s="15"/>
      <c r="L224" s="52"/>
    </row>
    <row r="225" spans="1:12" ht="13.2">
      <c r="A225" s="36"/>
      <c r="B225" s="36"/>
      <c r="C225" s="27"/>
      <c r="D225" s="36"/>
      <c r="E225" s="47"/>
      <c r="F225" s="36"/>
      <c r="G225" s="36"/>
      <c r="H225" s="48"/>
      <c r="I225" s="28"/>
      <c r="J225" s="36"/>
      <c r="K225" s="36"/>
      <c r="L225" s="49"/>
    </row>
    <row r="226" spans="1:12" ht="13.2">
      <c r="A226" s="15"/>
      <c r="B226" s="15"/>
      <c r="C226" s="22"/>
      <c r="D226" s="15"/>
      <c r="E226" s="50"/>
      <c r="F226" s="15"/>
      <c r="G226" s="15"/>
      <c r="H226" s="51"/>
      <c r="I226" s="23"/>
      <c r="J226" s="15"/>
      <c r="K226" s="15"/>
      <c r="L226" s="52"/>
    </row>
    <row r="227" spans="1:12" ht="13.2">
      <c r="A227" s="36"/>
      <c r="B227" s="36"/>
      <c r="C227" s="27"/>
      <c r="D227" s="36"/>
      <c r="E227" s="47"/>
      <c r="F227" s="36"/>
      <c r="G227" s="36"/>
      <c r="H227" s="48"/>
      <c r="I227" s="28"/>
      <c r="J227" s="36"/>
      <c r="K227" s="36"/>
      <c r="L227" s="49"/>
    </row>
    <row r="228" spans="1:12" ht="13.2">
      <c r="A228" s="15"/>
      <c r="B228" s="15"/>
      <c r="C228" s="22"/>
      <c r="D228" s="15"/>
      <c r="E228" s="50"/>
      <c r="F228" s="15"/>
      <c r="G228" s="15"/>
      <c r="H228" s="51"/>
      <c r="I228" s="23"/>
      <c r="J228" s="15"/>
      <c r="K228" s="15"/>
      <c r="L228" s="52"/>
    </row>
    <row r="229" spans="1:12" ht="13.2">
      <c r="A229" s="36"/>
      <c r="B229" s="36"/>
      <c r="C229" s="27"/>
      <c r="D229" s="36"/>
      <c r="E229" s="47"/>
      <c r="F229" s="36"/>
      <c r="G229" s="36"/>
      <c r="H229" s="48"/>
      <c r="I229" s="28"/>
      <c r="J229" s="36"/>
      <c r="K229" s="36"/>
      <c r="L229" s="49"/>
    </row>
    <row r="230" spans="1:12" ht="13.2">
      <c r="A230" s="15"/>
      <c r="B230" s="15"/>
      <c r="C230" s="22"/>
      <c r="D230" s="15"/>
      <c r="E230" s="50"/>
      <c r="F230" s="15"/>
      <c r="G230" s="15"/>
      <c r="H230" s="51"/>
      <c r="I230" s="23"/>
      <c r="J230" s="15"/>
      <c r="K230" s="15"/>
      <c r="L230" s="52"/>
    </row>
    <row r="231" spans="1:12" ht="13.2">
      <c r="A231" s="36"/>
      <c r="B231" s="36"/>
      <c r="C231" s="27"/>
      <c r="D231" s="36"/>
      <c r="E231" s="47"/>
      <c r="F231" s="36"/>
      <c r="G231" s="36"/>
      <c r="H231" s="48"/>
      <c r="I231" s="28"/>
      <c r="J231" s="36"/>
      <c r="K231" s="36"/>
      <c r="L231" s="49"/>
    </row>
    <row r="232" spans="1:12" ht="13.2">
      <c r="A232" s="15"/>
      <c r="B232" s="15"/>
      <c r="C232" s="22"/>
      <c r="D232" s="15"/>
      <c r="E232" s="50"/>
      <c r="F232" s="15"/>
      <c r="G232" s="15"/>
      <c r="H232" s="51"/>
      <c r="I232" s="23"/>
      <c r="J232" s="15"/>
      <c r="K232" s="15"/>
      <c r="L232" s="52"/>
    </row>
    <row r="233" spans="1:12" ht="13.2">
      <c r="A233" s="36"/>
      <c r="B233" s="36"/>
      <c r="C233" s="27"/>
      <c r="D233" s="36"/>
      <c r="E233" s="47"/>
      <c r="F233" s="36"/>
      <c r="G233" s="36"/>
      <c r="H233" s="48"/>
      <c r="I233" s="28"/>
      <c r="J233" s="36"/>
      <c r="K233" s="36"/>
      <c r="L233" s="49"/>
    </row>
    <row r="234" spans="1:12" ht="13.2">
      <c r="A234" s="15"/>
      <c r="B234" s="15"/>
      <c r="C234" s="22"/>
      <c r="D234" s="15"/>
      <c r="E234" s="50"/>
      <c r="F234" s="15"/>
      <c r="G234" s="15"/>
      <c r="H234" s="51"/>
      <c r="I234" s="23"/>
      <c r="J234" s="15"/>
      <c r="K234" s="15"/>
      <c r="L234" s="52"/>
    </row>
    <row r="235" spans="1:12" ht="13.2">
      <c r="A235" s="36"/>
      <c r="B235" s="36"/>
      <c r="C235" s="27"/>
      <c r="D235" s="36"/>
      <c r="E235" s="47"/>
      <c r="F235" s="36"/>
      <c r="G235" s="36"/>
      <c r="H235" s="48"/>
      <c r="I235" s="28"/>
      <c r="J235" s="36"/>
      <c r="K235" s="36"/>
      <c r="L235" s="49"/>
    </row>
    <row r="236" spans="1:12" ht="13.2">
      <c r="A236" s="15"/>
      <c r="B236" s="15"/>
      <c r="C236" s="22"/>
      <c r="D236" s="15"/>
      <c r="E236" s="50"/>
      <c r="F236" s="15"/>
      <c r="G236" s="15"/>
      <c r="H236" s="51"/>
      <c r="I236" s="23"/>
      <c r="J236" s="15"/>
      <c r="K236" s="15"/>
      <c r="L236" s="52"/>
    </row>
    <row r="237" spans="1:12" ht="13.2">
      <c r="A237" s="36"/>
      <c r="B237" s="36"/>
      <c r="C237" s="27"/>
      <c r="D237" s="36"/>
      <c r="E237" s="47"/>
      <c r="F237" s="36"/>
      <c r="G237" s="36"/>
      <c r="H237" s="48"/>
      <c r="I237" s="28"/>
      <c r="J237" s="36"/>
      <c r="K237" s="36"/>
      <c r="L237" s="49"/>
    </row>
    <row r="238" spans="1:12" ht="13.2">
      <c r="A238" s="15"/>
      <c r="B238" s="15"/>
      <c r="C238" s="22"/>
      <c r="D238" s="15"/>
      <c r="E238" s="50"/>
      <c r="F238" s="15"/>
      <c r="G238" s="15"/>
      <c r="H238" s="51"/>
      <c r="I238" s="23"/>
      <c r="J238" s="15"/>
      <c r="K238" s="15"/>
      <c r="L238" s="52"/>
    </row>
    <row r="239" spans="1:12" ht="13.2">
      <c r="A239" s="36"/>
      <c r="B239" s="36"/>
      <c r="C239" s="27"/>
      <c r="D239" s="36"/>
      <c r="E239" s="47"/>
      <c r="F239" s="36"/>
      <c r="G239" s="36"/>
      <c r="H239" s="48"/>
      <c r="I239" s="28"/>
      <c r="J239" s="36"/>
      <c r="K239" s="36"/>
      <c r="L239" s="49"/>
    </row>
    <row r="240" spans="1:12" ht="13.2">
      <c r="A240" s="15"/>
      <c r="B240" s="15"/>
      <c r="C240" s="22"/>
      <c r="D240" s="15"/>
      <c r="E240" s="50"/>
      <c r="F240" s="15"/>
      <c r="G240" s="15"/>
      <c r="H240" s="51"/>
      <c r="I240" s="23"/>
      <c r="J240" s="15"/>
      <c r="K240" s="15"/>
      <c r="L240" s="52"/>
    </row>
    <row r="241" spans="1:12" ht="13.2">
      <c r="A241" s="36"/>
      <c r="B241" s="36"/>
      <c r="C241" s="27"/>
      <c r="D241" s="36"/>
      <c r="E241" s="47"/>
      <c r="F241" s="36"/>
      <c r="G241" s="36"/>
      <c r="H241" s="48"/>
      <c r="I241" s="28"/>
      <c r="J241" s="36"/>
      <c r="K241" s="36"/>
      <c r="L241" s="49"/>
    </row>
    <row r="242" spans="1:12" ht="13.2">
      <c r="A242" s="15"/>
      <c r="B242" s="15"/>
      <c r="C242" s="22"/>
      <c r="D242" s="15"/>
      <c r="E242" s="50"/>
      <c r="F242" s="15"/>
      <c r="G242" s="15"/>
      <c r="H242" s="51"/>
      <c r="I242" s="23"/>
      <c r="J242" s="15"/>
      <c r="K242" s="15"/>
      <c r="L242" s="52"/>
    </row>
    <row r="243" spans="1:12" ht="13.2">
      <c r="A243" s="36"/>
      <c r="B243" s="36"/>
      <c r="C243" s="27"/>
      <c r="D243" s="36"/>
      <c r="E243" s="47"/>
      <c r="F243" s="36"/>
      <c r="G243" s="36"/>
      <c r="H243" s="48"/>
      <c r="I243" s="28"/>
      <c r="J243" s="36"/>
      <c r="K243" s="36"/>
      <c r="L243" s="49"/>
    </row>
    <row r="244" spans="1:12" ht="13.2">
      <c r="A244" s="15"/>
      <c r="B244" s="15"/>
      <c r="C244" s="22"/>
      <c r="D244" s="15"/>
      <c r="E244" s="50"/>
      <c r="F244" s="15"/>
      <c r="G244" s="15"/>
      <c r="H244" s="51"/>
      <c r="I244" s="23"/>
      <c r="J244" s="15"/>
      <c r="K244" s="15"/>
      <c r="L244" s="52"/>
    </row>
    <row r="245" spans="1:12" ht="13.2">
      <c r="A245" s="36"/>
      <c r="B245" s="36"/>
      <c r="C245" s="27"/>
      <c r="D245" s="36"/>
      <c r="E245" s="47"/>
      <c r="F245" s="36"/>
      <c r="G245" s="36"/>
      <c r="H245" s="48"/>
      <c r="I245" s="28"/>
      <c r="J245" s="36"/>
      <c r="K245" s="36"/>
      <c r="L245" s="49"/>
    </row>
    <row r="246" spans="1:12" ht="13.2">
      <c r="A246" s="15"/>
      <c r="B246" s="15"/>
      <c r="C246" s="22"/>
      <c r="D246" s="15"/>
      <c r="E246" s="50"/>
      <c r="F246" s="15"/>
      <c r="G246" s="15"/>
      <c r="H246" s="51"/>
      <c r="I246" s="23"/>
      <c r="J246" s="15"/>
      <c r="K246" s="15"/>
      <c r="L246" s="52"/>
    </row>
    <row r="247" spans="1:12" ht="13.2">
      <c r="A247" s="36"/>
      <c r="B247" s="36"/>
      <c r="C247" s="27"/>
      <c r="D247" s="36"/>
      <c r="E247" s="47"/>
      <c r="F247" s="36"/>
      <c r="G247" s="36"/>
      <c r="H247" s="48"/>
      <c r="I247" s="28"/>
      <c r="J247" s="36"/>
      <c r="K247" s="36"/>
      <c r="L247" s="49"/>
    </row>
    <row r="248" spans="1:12" ht="13.2">
      <c r="A248" s="15"/>
      <c r="B248" s="15"/>
      <c r="C248" s="22"/>
      <c r="D248" s="15"/>
      <c r="E248" s="50"/>
      <c r="F248" s="15"/>
      <c r="G248" s="15"/>
      <c r="H248" s="51"/>
      <c r="I248" s="23"/>
      <c r="J248" s="15"/>
      <c r="K248" s="15"/>
      <c r="L248" s="52"/>
    </row>
    <row r="249" spans="1:12" ht="13.2">
      <c r="A249" s="36"/>
      <c r="B249" s="36"/>
      <c r="C249" s="27"/>
      <c r="D249" s="36"/>
      <c r="E249" s="47"/>
      <c r="F249" s="36"/>
      <c r="G249" s="36"/>
      <c r="H249" s="48"/>
      <c r="I249" s="28"/>
      <c r="J249" s="36"/>
      <c r="K249" s="36"/>
      <c r="L249" s="49"/>
    </row>
    <row r="250" spans="1:12" ht="13.2">
      <c r="A250" s="15"/>
      <c r="B250" s="15"/>
      <c r="C250" s="22"/>
      <c r="D250" s="15"/>
      <c r="E250" s="50"/>
      <c r="F250" s="15"/>
      <c r="G250" s="15"/>
      <c r="H250" s="51"/>
      <c r="I250" s="23"/>
      <c r="J250" s="15"/>
      <c r="K250" s="15"/>
      <c r="L250" s="52"/>
    </row>
    <row r="251" spans="1:12" ht="13.2">
      <c r="A251" s="36"/>
      <c r="B251" s="36"/>
      <c r="C251" s="27"/>
      <c r="D251" s="36"/>
      <c r="E251" s="47"/>
      <c r="F251" s="36"/>
      <c r="G251" s="36"/>
      <c r="H251" s="48"/>
      <c r="I251" s="28"/>
      <c r="J251" s="36"/>
      <c r="K251" s="36"/>
      <c r="L251" s="49"/>
    </row>
    <row r="252" spans="1:12" ht="13.2">
      <c r="A252" s="15"/>
      <c r="B252" s="15"/>
      <c r="C252" s="22"/>
      <c r="D252" s="15"/>
      <c r="E252" s="50"/>
      <c r="F252" s="15"/>
      <c r="G252" s="15"/>
      <c r="H252" s="51"/>
      <c r="I252" s="23"/>
      <c r="J252" s="15"/>
      <c r="K252" s="15"/>
      <c r="L252" s="52"/>
    </row>
    <row r="253" spans="1:12" ht="13.2">
      <c r="A253" s="36"/>
      <c r="B253" s="36"/>
      <c r="C253" s="27"/>
      <c r="D253" s="36"/>
      <c r="E253" s="47"/>
      <c r="F253" s="36"/>
      <c r="G253" s="36"/>
      <c r="H253" s="48"/>
      <c r="I253" s="28"/>
      <c r="J253" s="36"/>
      <c r="K253" s="36"/>
      <c r="L253" s="49"/>
    </row>
    <row r="254" spans="1:12" ht="13.2">
      <c r="A254" s="15"/>
      <c r="B254" s="15"/>
      <c r="C254" s="22"/>
      <c r="D254" s="15"/>
      <c r="E254" s="50"/>
      <c r="F254" s="15"/>
      <c r="G254" s="15"/>
      <c r="H254" s="51"/>
      <c r="I254" s="23"/>
      <c r="J254" s="15"/>
      <c r="K254" s="15"/>
      <c r="L254" s="52"/>
    </row>
    <row r="255" spans="1:12" ht="13.2">
      <c r="A255" s="36"/>
      <c r="B255" s="36"/>
      <c r="C255" s="27"/>
      <c r="D255" s="36"/>
      <c r="E255" s="47"/>
      <c r="F255" s="36"/>
      <c r="G255" s="36"/>
      <c r="H255" s="48"/>
      <c r="I255" s="28"/>
      <c r="J255" s="36"/>
      <c r="K255" s="36"/>
      <c r="L255" s="49"/>
    </row>
    <row r="256" spans="1:12" ht="13.2">
      <c r="A256" s="15"/>
      <c r="B256" s="15"/>
      <c r="C256" s="22"/>
      <c r="D256" s="15"/>
      <c r="E256" s="50"/>
      <c r="F256" s="15"/>
      <c r="G256" s="15"/>
      <c r="H256" s="51"/>
      <c r="I256" s="23"/>
      <c r="J256" s="15"/>
      <c r="K256" s="15"/>
      <c r="L256" s="52"/>
    </row>
    <row r="257" spans="1:12" ht="13.2">
      <c r="A257" s="36"/>
      <c r="B257" s="36"/>
      <c r="C257" s="27"/>
      <c r="D257" s="36"/>
      <c r="E257" s="47"/>
      <c r="F257" s="36"/>
      <c r="G257" s="36"/>
      <c r="H257" s="48"/>
      <c r="I257" s="28"/>
      <c r="J257" s="36"/>
      <c r="K257" s="36"/>
      <c r="L257" s="49"/>
    </row>
    <row r="258" spans="1:12" ht="13.2">
      <c r="A258" s="15"/>
      <c r="B258" s="15"/>
      <c r="C258" s="22"/>
      <c r="D258" s="15"/>
      <c r="E258" s="50"/>
      <c r="F258" s="15"/>
      <c r="G258" s="15"/>
      <c r="H258" s="51"/>
      <c r="I258" s="23"/>
      <c r="J258" s="15"/>
      <c r="K258" s="15"/>
      <c r="L258" s="52"/>
    </row>
    <row r="259" spans="1:12" ht="13.2">
      <c r="A259" s="36"/>
      <c r="B259" s="36"/>
      <c r="C259" s="27"/>
      <c r="D259" s="36"/>
      <c r="E259" s="47"/>
      <c r="F259" s="36"/>
      <c r="G259" s="36"/>
      <c r="H259" s="48"/>
      <c r="I259" s="28"/>
      <c r="J259" s="36"/>
      <c r="K259" s="36"/>
      <c r="L259" s="49"/>
    </row>
    <row r="260" spans="1:12" ht="13.2">
      <c r="A260" s="15"/>
      <c r="B260" s="15"/>
      <c r="C260" s="22"/>
      <c r="D260" s="15"/>
      <c r="E260" s="50"/>
      <c r="F260" s="15"/>
      <c r="G260" s="15"/>
      <c r="H260" s="51"/>
      <c r="I260" s="23"/>
      <c r="J260" s="15"/>
      <c r="K260" s="15"/>
      <c r="L260" s="52"/>
    </row>
    <row r="261" spans="1:12" ht="13.2">
      <c r="A261" s="36"/>
      <c r="B261" s="36"/>
      <c r="C261" s="27"/>
      <c r="D261" s="36"/>
      <c r="E261" s="47"/>
      <c r="F261" s="36"/>
      <c r="G261" s="36"/>
      <c r="H261" s="48"/>
      <c r="I261" s="28"/>
      <c r="J261" s="36"/>
      <c r="K261" s="36"/>
      <c r="L261" s="49"/>
    </row>
    <row r="262" spans="1:12" ht="13.2">
      <c r="A262" s="15"/>
      <c r="B262" s="15"/>
      <c r="C262" s="22"/>
      <c r="D262" s="15"/>
      <c r="E262" s="50"/>
      <c r="F262" s="15"/>
      <c r="G262" s="15"/>
      <c r="H262" s="51"/>
      <c r="I262" s="23"/>
      <c r="J262" s="15"/>
      <c r="K262" s="15"/>
      <c r="L262" s="52"/>
    </row>
    <row r="263" spans="1:12" ht="13.2">
      <c r="A263" s="36"/>
      <c r="B263" s="36"/>
      <c r="C263" s="27"/>
      <c r="D263" s="36"/>
      <c r="E263" s="47"/>
      <c r="F263" s="36"/>
      <c r="G263" s="36"/>
      <c r="H263" s="48"/>
      <c r="I263" s="28"/>
      <c r="J263" s="36"/>
      <c r="K263" s="36"/>
      <c r="L263" s="49"/>
    </row>
    <row r="264" spans="1:12" ht="13.2">
      <c r="A264" s="15"/>
      <c r="B264" s="15"/>
      <c r="C264" s="22"/>
      <c r="D264" s="15"/>
      <c r="E264" s="50"/>
      <c r="F264" s="15"/>
      <c r="G264" s="15"/>
      <c r="H264" s="51"/>
      <c r="I264" s="23"/>
      <c r="J264" s="15"/>
      <c r="K264" s="15"/>
      <c r="L264" s="52"/>
    </row>
    <row r="265" spans="1:12" ht="13.2">
      <c r="A265" s="36"/>
      <c r="B265" s="36"/>
      <c r="C265" s="27"/>
      <c r="D265" s="36"/>
      <c r="E265" s="47"/>
      <c r="F265" s="36"/>
      <c r="G265" s="36"/>
      <c r="H265" s="48"/>
      <c r="I265" s="28"/>
      <c r="J265" s="36"/>
      <c r="K265" s="36"/>
      <c r="L265" s="49"/>
    </row>
    <row r="266" spans="1:12" ht="13.2">
      <c r="A266" s="15"/>
      <c r="B266" s="15"/>
      <c r="C266" s="22"/>
      <c r="D266" s="15"/>
      <c r="E266" s="50"/>
      <c r="F266" s="15"/>
      <c r="G266" s="15"/>
      <c r="H266" s="51"/>
      <c r="I266" s="23"/>
      <c r="J266" s="15"/>
      <c r="K266" s="15"/>
      <c r="L266" s="52"/>
    </row>
    <row r="267" spans="1:12" ht="13.2">
      <c r="A267" s="36"/>
      <c r="B267" s="36"/>
      <c r="C267" s="27"/>
      <c r="D267" s="36"/>
      <c r="E267" s="47"/>
      <c r="F267" s="36"/>
      <c r="G267" s="36"/>
      <c r="H267" s="48"/>
      <c r="I267" s="28"/>
      <c r="J267" s="36"/>
      <c r="K267" s="36"/>
      <c r="L267" s="49"/>
    </row>
    <row r="268" spans="1:12" ht="13.2">
      <c r="A268" s="15"/>
      <c r="B268" s="15"/>
      <c r="C268" s="22"/>
      <c r="D268" s="15"/>
      <c r="E268" s="50"/>
      <c r="F268" s="15"/>
      <c r="G268" s="15"/>
      <c r="H268" s="51"/>
      <c r="I268" s="23"/>
      <c r="J268" s="15"/>
      <c r="K268" s="15"/>
      <c r="L268" s="52"/>
    </row>
    <row r="269" spans="1:12" ht="13.2">
      <c r="A269" s="36"/>
      <c r="B269" s="36"/>
      <c r="C269" s="27"/>
      <c r="D269" s="36"/>
      <c r="E269" s="47"/>
      <c r="F269" s="36"/>
      <c r="G269" s="36"/>
      <c r="H269" s="48"/>
      <c r="I269" s="28"/>
      <c r="J269" s="36"/>
      <c r="K269" s="36"/>
      <c r="L269" s="49"/>
    </row>
    <row r="270" spans="1:12" ht="13.2">
      <c r="A270" s="15"/>
      <c r="B270" s="15"/>
      <c r="C270" s="22"/>
      <c r="D270" s="15"/>
      <c r="E270" s="50"/>
      <c r="F270" s="15"/>
      <c r="G270" s="15"/>
      <c r="H270" s="51"/>
      <c r="I270" s="23"/>
      <c r="J270" s="15"/>
      <c r="K270" s="15"/>
      <c r="L270" s="52"/>
    </row>
    <row r="271" spans="1:12" ht="13.2">
      <c r="A271" s="36"/>
      <c r="B271" s="36"/>
      <c r="C271" s="27"/>
      <c r="D271" s="36"/>
      <c r="E271" s="47"/>
      <c r="F271" s="36"/>
      <c r="G271" s="36"/>
      <c r="H271" s="48"/>
      <c r="I271" s="28"/>
      <c r="J271" s="36"/>
      <c r="K271" s="36"/>
      <c r="L271" s="49"/>
    </row>
    <row r="272" spans="1:12" ht="13.2">
      <c r="A272" s="15"/>
      <c r="B272" s="15"/>
      <c r="C272" s="22"/>
      <c r="D272" s="15"/>
      <c r="E272" s="50"/>
      <c r="F272" s="15"/>
      <c r="G272" s="15"/>
      <c r="H272" s="51"/>
      <c r="I272" s="23"/>
      <c r="J272" s="15"/>
      <c r="K272" s="15"/>
      <c r="L272" s="52"/>
    </row>
    <row r="273" spans="1:12" ht="13.2">
      <c r="A273" s="36"/>
      <c r="B273" s="36"/>
      <c r="C273" s="27"/>
      <c r="D273" s="36"/>
      <c r="E273" s="47"/>
      <c r="F273" s="36"/>
      <c r="G273" s="36"/>
      <c r="H273" s="48"/>
      <c r="I273" s="28"/>
      <c r="J273" s="36"/>
      <c r="K273" s="36"/>
      <c r="L273" s="49"/>
    </row>
    <row r="274" spans="1:12" ht="13.2">
      <c r="A274" s="15"/>
      <c r="B274" s="15"/>
      <c r="C274" s="22"/>
      <c r="D274" s="15"/>
      <c r="E274" s="50"/>
      <c r="F274" s="15"/>
      <c r="G274" s="15"/>
      <c r="H274" s="51"/>
      <c r="I274" s="23"/>
      <c r="J274" s="15"/>
      <c r="K274" s="15"/>
      <c r="L274" s="52"/>
    </row>
    <row r="275" spans="1:12" ht="13.2">
      <c r="A275" s="36"/>
      <c r="B275" s="36"/>
      <c r="C275" s="27"/>
      <c r="D275" s="36"/>
      <c r="E275" s="47"/>
      <c r="F275" s="36"/>
      <c r="G275" s="36"/>
      <c r="H275" s="48"/>
      <c r="I275" s="28"/>
      <c r="J275" s="36"/>
      <c r="K275" s="36"/>
      <c r="L275" s="49"/>
    </row>
    <row r="276" spans="1:12" ht="13.2">
      <c r="A276" s="15"/>
      <c r="B276" s="15"/>
      <c r="C276" s="22"/>
      <c r="D276" s="15"/>
      <c r="E276" s="50"/>
      <c r="F276" s="15"/>
      <c r="G276" s="15"/>
      <c r="H276" s="51"/>
      <c r="I276" s="23"/>
      <c r="J276" s="15"/>
      <c r="K276" s="15"/>
      <c r="L276" s="52"/>
    </row>
    <row r="277" spans="1:12" ht="13.2">
      <c r="A277" s="36"/>
      <c r="B277" s="36"/>
      <c r="C277" s="27"/>
      <c r="D277" s="36"/>
      <c r="E277" s="47"/>
      <c r="F277" s="36"/>
      <c r="G277" s="36"/>
      <c r="H277" s="48"/>
      <c r="I277" s="28"/>
      <c r="J277" s="36"/>
      <c r="K277" s="36"/>
      <c r="L277" s="49"/>
    </row>
    <row r="278" spans="1:12" ht="13.2">
      <c r="A278" s="15"/>
      <c r="B278" s="15"/>
      <c r="C278" s="22"/>
      <c r="D278" s="15"/>
      <c r="E278" s="50"/>
      <c r="F278" s="15"/>
      <c r="G278" s="15"/>
      <c r="H278" s="51"/>
      <c r="I278" s="23"/>
      <c r="J278" s="15"/>
      <c r="K278" s="15"/>
      <c r="L278" s="52"/>
    </row>
    <row r="279" spans="1:12" ht="13.2">
      <c r="A279" s="36"/>
      <c r="B279" s="36"/>
      <c r="C279" s="27"/>
      <c r="D279" s="36"/>
      <c r="E279" s="47"/>
      <c r="F279" s="36"/>
      <c r="G279" s="36"/>
      <c r="H279" s="48"/>
      <c r="I279" s="28"/>
      <c r="J279" s="36"/>
      <c r="K279" s="36"/>
      <c r="L279" s="49"/>
    </row>
    <row r="280" spans="1:12" ht="13.2">
      <c r="A280" s="15"/>
      <c r="B280" s="15"/>
      <c r="C280" s="22"/>
      <c r="D280" s="15"/>
      <c r="E280" s="50"/>
      <c r="F280" s="15"/>
      <c r="G280" s="15"/>
      <c r="H280" s="51"/>
      <c r="I280" s="23"/>
      <c r="J280" s="15"/>
      <c r="K280" s="15"/>
      <c r="L280" s="52"/>
    </row>
    <row r="281" spans="1:12" ht="13.2">
      <c r="A281" s="36"/>
      <c r="B281" s="36"/>
      <c r="C281" s="27"/>
      <c r="D281" s="36"/>
      <c r="E281" s="47"/>
      <c r="F281" s="36"/>
      <c r="G281" s="36"/>
      <c r="H281" s="48"/>
      <c r="I281" s="28"/>
      <c r="J281" s="36"/>
      <c r="K281" s="36"/>
      <c r="L281" s="49"/>
    </row>
    <row r="282" spans="1:12" ht="13.2">
      <c r="A282" s="15"/>
      <c r="B282" s="15"/>
      <c r="C282" s="22"/>
      <c r="D282" s="15"/>
      <c r="E282" s="50"/>
      <c r="F282" s="15"/>
      <c r="G282" s="15"/>
      <c r="H282" s="51"/>
      <c r="I282" s="23"/>
      <c r="J282" s="15"/>
      <c r="K282" s="15"/>
      <c r="L282" s="52"/>
    </row>
    <row r="283" spans="1:12" ht="13.2">
      <c r="A283" s="36"/>
      <c r="B283" s="36"/>
      <c r="C283" s="27"/>
      <c r="D283" s="36"/>
      <c r="E283" s="47"/>
      <c r="F283" s="36"/>
      <c r="G283" s="36"/>
      <c r="H283" s="48"/>
      <c r="I283" s="28"/>
      <c r="J283" s="36"/>
      <c r="K283" s="36"/>
      <c r="L283" s="49"/>
    </row>
    <row r="284" spans="1:12" ht="13.2">
      <c r="A284" s="15"/>
      <c r="B284" s="15"/>
      <c r="C284" s="22"/>
      <c r="D284" s="15"/>
      <c r="E284" s="50"/>
      <c r="F284" s="15"/>
      <c r="G284" s="15"/>
      <c r="H284" s="51"/>
      <c r="I284" s="23"/>
      <c r="J284" s="15"/>
      <c r="K284" s="15"/>
      <c r="L284" s="52"/>
    </row>
    <row r="285" spans="1:12" ht="13.2">
      <c r="A285" s="36"/>
      <c r="B285" s="36"/>
      <c r="C285" s="27"/>
      <c r="D285" s="36"/>
      <c r="E285" s="47"/>
      <c r="F285" s="36"/>
      <c r="G285" s="36"/>
      <c r="H285" s="48"/>
      <c r="I285" s="28"/>
      <c r="J285" s="36"/>
      <c r="K285" s="36"/>
      <c r="L285" s="49"/>
    </row>
    <row r="286" spans="1:12" ht="13.2">
      <c r="A286" s="15"/>
      <c r="B286" s="15"/>
      <c r="C286" s="22"/>
      <c r="D286" s="15"/>
      <c r="E286" s="50"/>
      <c r="F286" s="15"/>
      <c r="G286" s="15"/>
      <c r="H286" s="51"/>
      <c r="I286" s="23"/>
      <c r="J286" s="15"/>
      <c r="K286" s="15"/>
      <c r="L286" s="52"/>
    </row>
    <row r="287" spans="1:12" ht="13.2">
      <c r="A287" s="36"/>
      <c r="B287" s="36"/>
      <c r="C287" s="27"/>
      <c r="D287" s="36"/>
      <c r="E287" s="47"/>
      <c r="F287" s="36"/>
      <c r="G287" s="36"/>
      <c r="H287" s="48"/>
      <c r="I287" s="28"/>
      <c r="J287" s="36"/>
      <c r="K287" s="36"/>
      <c r="L287" s="49"/>
    </row>
    <row r="288" spans="1:12" ht="13.2">
      <c r="A288" s="15"/>
      <c r="B288" s="15"/>
      <c r="C288" s="22"/>
      <c r="D288" s="15"/>
      <c r="E288" s="50"/>
      <c r="F288" s="15"/>
      <c r="G288" s="15"/>
      <c r="H288" s="51"/>
      <c r="I288" s="23"/>
      <c r="J288" s="15"/>
      <c r="K288" s="15"/>
      <c r="L288" s="52"/>
    </row>
    <row r="289" spans="1:12" ht="13.2">
      <c r="A289" s="36"/>
      <c r="B289" s="36"/>
      <c r="C289" s="27"/>
      <c r="D289" s="36"/>
      <c r="E289" s="47"/>
      <c r="F289" s="36"/>
      <c r="G289" s="36"/>
      <c r="H289" s="48"/>
      <c r="I289" s="28"/>
      <c r="J289" s="36"/>
      <c r="K289" s="36"/>
      <c r="L289" s="49"/>
    </row>
    <row r="290" spans="1:12" ht="13.2">
      <c r="A290" s="15"/>
      <c r="B290" s="15"/>
      <c r="C290" s="22"/>
      <c r="D290" s="15"/>
      <c r="E290" s="50"/>
      <c r="F290" s="15"/>
      <c r="G290" s="15"/>
      <c r="H290" s="51"/>
      <c r="I290" s="23"/>
      <c r="J290" s="15"/>
      <c r="K290" s="15"/>
      <c r="L290" s="52"/>
    </row>
    <row r="291" spans="1:12" ht="13.2">
      <c r="A291" s="36"/>
      <c r="B291" s="36"/>
      <c r="C291" s="27"/>
      <c r="D291" s="36"/>
      <c r="E291" s="47"/>
      <c r="F291" s="36"/>
      <c r="G291" s="36"/>
      <c r="H291" s="48"/>
      <c r="I291" s="28"/>
      <c r="J291" s="36"/>
      <c r="K291" s="36"/>
      <c r="L291" s="49"/>
    </row>
    <row r="292" spans="1:12" ht="13.2">
      <c r="A292" s="15"/>
      <c r="B292" s="15"/>
      <c r="C292" s="22"/>
      <c r="D292" s="15"/>
      <c r="E292" s="50"/>
      <c r="F292" s="15"/>
      <c r="G292" s="15"/>
      <c r="H292" s="51"/>
      <c r="I292" s="23"/>
      <c r="J292" s="15"/>
      <c r="K292" s="15"/>
      <c r="L292" s="52"/>
    </row>
    <row r="293" spans="1:12" ht="13.2">
      <c r="A293" s="36"/>
      <c r="B293" s="36"/>
      <c r="C293" s="27"/>
      <c r="D293" s="36"/>
      <c r="E293" s="47"/>
      <c r="F293" s="36"/>
      <c r="G293" s="36"/>
      <c r="H293" s="48"/>
      <c r="I293" s="28"/>
      <c r="J293" s="36"/>
      <c r="K293" s="36"/>
      <c r="L293" s="49"/>
    </row>
    <row r="294" spans="1:12" ht="13.2">
      <c r="A294" s="15"/>
      <c r="B294" s="15"/>
      <c r="C294" s="22"/>
      <c r="D294" s="15"/>
      <c r="E294" s="50"/>
      <c r="F294" s="15"/>
      <c r="G294" s="15"/>
      <c r="H294" s="51"/>
      <c r="I294" s="23"/>
      <c r="J294" s="15"/>
      <c r="K294" s="15"/>
      <c r="L294" s="52"/>
    </row>
    <row r="295" spans="1:12" ht="13.2">
      <c r="A295" s="36"/>
      <c r="B295" s="36"/>
      <c r="C295" s="27"/>
      <c r="D295" s="36"/>
      <c r="E295" s="47"/>
      <c r="F295" s="36"/>
      <c r="G295" s="36"/>
      <c r="H295" s="48"/>
      <c r="I295" s="28"/>
      <c r="J295" s="36"/>
      <c r="K295" s="36"/>
      <c r="L295" s="49"/>
    </row>
    <row r="296" spans="1:12" ht="13.2">
      <c r="A296" s="15"/>
      <c r="B296" s="15"/>
      <c r="C296" s="22"/>
      <c r="D296" s="15"/>
      <c r="E296" s="50"/>
      <c r="F296" s="15"/>
      <c r="G296" s="15"/>
      <c r="H296" s="51"/>
      <c r="I296" s="23"/>
      <c r="J296" s="15"/>
      <c r="K296" s="15"/>
      <c r="L296" s="52"/>
    </row>
    <row r="297" spans="1:12" ht="13.2">
      <c r="A297" s="36"/>
      <c r="B297" s="36"/>
      <c r="C297" s="27"/>
      <c r="D297" s="36"/>
      <c r="E297" s="47"/>
      <c r="F297" s="36"/>
      <c r="G297" s="36"/>
      <c r="H297" s="48"/>
      <c r="I297" s="28"/>
      <c r="J297" s="36"/>
      <c r="K297" s="36"/>
      <c r="L297" s="49"/>
    </row>
    <row r="298" spans="1:12" ht="13.2">
      <c r="A298" s="15"/>
      <c r="B298" s="15"/>
      <c r="C298" s="22"/>
      <c r="D298" s="15"/>
      <c r="E298" s="50"/>
      <c r="F298" s="15"/>
      <c r="G298" s="15"/>
      <c r="H298" s="51"/>
      <c r="I298" s="23"/>
      <c r="J298" s="15"/>
      <c r="K298" s="15"/>
      <c r="L298" s="52"/>
    </row>
    <row r="299" spans="1:12" ht="13.2">
      <c r="A299" s="36"/>
      <c r="B299" s="36"/>
      <c r="C299" s="27"/>
      <c r="D299" s="36"/>
      <c r="E299" s="47"/>
      <c r="F299" s="36"/>
      <c r="G299" s="36"/>
      <c r="H299" s="48"/>
      <c r="I299" s="28"/>
      <c r="J299" s="36"/>
      <c r="K299" s="36"/>
      <c r="L299" s="49"/>
    </row>
    <row r="300" spans="1:12" ht="13.2">
      <c r="A300" s="15"/>
      <c r="B300" s="15"/>
      <c r="C300" s="22"/>
      <c r="D300" s="15"/>
      <c r="E300" s="50"/>
      <c r="F300" s="15"/>
      <c r="G300" s="15"/>
      <c r="H300" s="51"/>
      <c r="I300" s="23"/>
      <c r="J300" s="15"/>
      <c r="K300" s="15"/>
      <c r="L300" s="52"/>
    </row>
    <row r="301" spans="1:12" ht="13.2">
      <c r="A301" s="36"/>
      <c r="B301" s="36"/>
      <c r="C301" s="27"/>
      <c r="D301" s="36"/>
      <c r="E301" s="47"/>
      <c r="F301" s="36"/>
      <c r="G301" s="36"/>
      <c r="H301" s="48"/>
      <c r="I301" s="28"/>
      <c r="J301" s="36"/>
      <c r="K301" s="36"/>
      <c r="L301" s="49"/>
    </row>
    <row r="302" spans="1:12" ht="13.2">
      <c r="A302" s="15"/>
      <c r="B302" s="15"/>
      <c r="C302" s="22"/>
      <c r="D302" s="15"/>
      <c r="E302" s="50"/>
      <c r="F302" s="15"/>
      <c r="G302" s="15"/>
      <c r="H302" s="51"/>
      <c r="I302" s="23"/>
      <c r="J302" s="15"/>
      <c r="K302" s="15"/>
      <c r="L302" s="52"/>
    </row>
    <row r="303" spans="1:12" ht="13.2">
      <c r="A303" s="36"/>
      <c r="B303" s="36"/>
      <c r="C303" s="27"/>
      <c r="D303" s="36"/>
      <c r="E303" s="47"/>
      <c r="F303" s="36"/>
      <c r="G303" s="36"/>
      <c r="H303" s="48"/>
      <c r="I303" s="28"/>
      <c r="J303" s="36"/>
      <c r="K303" s="36"/>
      <c r="L303" s="49"/>
    </row>
    <row r="304" spans="1:12" ht="13.2">
      <c r="A304" s="15"/>
      <c r="B304" s="15"/>
      <c r="C304" s="22"/>
      <c r="D304" s="15"/>
      <c r="E304" s="50"/>
      <c r="F304" s="15"/>
      <c r="G304" s="15"/>
      <c r="H304" s="51"/>
      <c r="I304" s="23"/>
      <c r="J304" s="15"/>
      <c r="K304" s="15"/>
      <c r="L304" s="52"/>
    </row>
    <row r="305" spans="1:12" ht="13.2">
      <c r="A305" s="36"/>
      <c r="B305" s="36"/>
      <c r="C305" s="27"/>
      <c r="D305" s="36"/>
      <c r="E305" s="47"/>
      <c r="F305" s="36"/>
      <c r="G305" s="36"/>
      <c r="H305" s="48"/>
      <c r="I305" s="28"/>
      <c r="J305" s="36"/>
      <c r="K305" s="36"/>
      <c r="L305" s="49"/>
    </row>
    <row r="306" spans="1:12" ht="13.2">
      <c r="A306" s="15"/>
      <c r="B306" s="15"/>
      <c r="C306" s="22"/>
      <c r="D306" s="15"/>
      <c r="E306" s="50"/>
      <c r="F306" s="15"/>
      <c r="G306" s="15"/>
      <c r="H306" s="51"/>
      <c r="I306" s="23"/>
      <c r="J306" s="15"/>
      <c r="K306" s="15"/>
      <c r="L306" s="52"/>
    </row>
    <row r="307" spans="1:12" ht="13.2">
      <c r="A307" s="36"/>
      <c r="B307" s="36"/>
      <c r="C307" s="27"/>
      <c r="D307" s="36"/>
      <c r="E307" s="47"/>
      <c r="F307" s="36"/>
      <c r="G307" s="36"/>
      <c r="H307" s="48"/>
      <c r="I307" s="28"/>
      <c r="J307" s="36"/>
      <c r="K307" s="36"/>
      <c r="L307" s="49"/>
    </row>
    <row r="308" spans="1:12" ht="13.2">
      <c r="A308" s="15"/>
      <c r="B308" s="15"/>
      <c r="C308" s="22"/>
      <c r="D308" s="15"/>
      <c r="E308" s="50"/>
      <c r="F308" s="15"/>
      <c r="G308" s="15"/>
      <c r="H308" s="51"/>
      <c r="I308" s="23"/>
      <c r="J308" s="15"/>
      <c r="K308" s="15"/>
      <c r="L308" s="52"/>
    </row>
    <row r="309" spans="1:12" ht="13.2">
      <c r="A309" s="36"/>
      <c r="B309" s="36"/>
      <c r="C309" s="27"/>
      <c r="D309" s="36"/>
      <c r="E309" s="47"/>
      <c r="F309" s="36"/>
      <c r="G309" s="36"/>
      <c r="H309" s="48"/>
      <c r="I309" s="28"/>
      <c r="J309" s="36"/>
      <c r="K309" s="36"/>
      <c r="L309" s="49"/>
    </row>
    <row r="310" spans="1:12" ht="13.2">
      <c r="A310" s="15"/>
      <c r="B310" s="15"/>
      <c r="C310" s="22"/>
      <c r="D310" s="15"/>
      <c r="E310" s="50"/>
      <c r="F310" s="15"/>
      <c r="G310" s="15"/>
      <c r="H310" s="51"/>
      <c r="I310" s="23"/>
      <c r="J310" s="15"/>
      <c r="K310" s="15"/>
      <c r="L310" s="52"/>
    </row>
    <row r="311" spans="1:12" ht="13.2">
      <c r="A311" s="36"/>
      <c r="B311" s="36"/>
      <c r="C311" s="27"/>
      <c r="D311" s="36"/>
      <c r="E311" s="47"/>
      <c r="F311" s="36"/>
      <c r="G311" s="36"/>
      <c r="H311" s="48"/>
      <c r="I311" s="28"/>
      <c r="J311" s="36"/>
      <c r="K311" s="36"/>
      <c r="L311" s="49"/>
    </row>
    <row r="312" spans="1:12" ht="13.2">
      <c r="A312" s="15"/>
      <c r="B312" s="15"/>
      <c r="C312" s="22"/>
      <c r="D312" s="15"/>
      <c r="E312" s="50"/>
      <c r="F312" s="15"/>
      <c r="G312" s="15"/>
      <c r="H312" s="51"/>
      <c r="I312" s="23"/>
      <c r="J312" s="15"/>
      <c r="K312" s="15"/>
      <c r="L312" s="52"/>
    </row>
    <row r="313" spans="1:12" ht="13.2">
      <c r="A313" s="36"/>
      <c r="B313" s="36"/>
      <c r="C313" s="27"/>
      <c r="D313" s="36"/>
      <c r="E313" s="47"/>
      <c r="F313" s="36"/>
      <c r="G313" s="36"/>
      <c r="H313" s="48"/>
      <c r="I313" s="28"/>
      <c r="J313" s="36"/>
      <c r="K313" s="36"/>
      <c r="L313" s="49"/>
    </row>
    <row r="314" spans="1:12" ht="13.2">
      <c r="A314" s="15"/>
      <c r="B314" s="15"/>
      <c r="C314" s="22"/>
      <c r="D314" s="15"/>
      <c r="E314" s="50"/>
      <c r="F314" s="15"/>
      <c r="G314" s="15"/>
      <c r="H314" s="51"/>
      <c r="I314" s="23"/>
      <c r="J314" s="15"/>
      <c r="K314" s="15"/>
      <c r="L314" s="52"/>
    </row>
    <row r="315" spans="1:12" ht="13.2">
      <c r="A315" s="36"/>
      <c r="B315" s="36"/>
      <c r="C315" s="27"/>
      <c r="D315" s="36"/>
      <c r="E315" s="47"/>
      <c r="F315" s="36"/>
      <c r="G315" s="36"/>
      <c r="H315" s="48"/>
      <c r="I315" s="28"/>
      <c r="J315" s="36"/>
      <c r="K315" s="36"/>
      <c r="L315" s="49"/>
    </row>
    <row r="316" spans="1:12" ht="13.2">
      <c r="A316" s="15"/>
      <c r="B316" s="15"/>
      <c r="C316" s="22"/>
      <c r="D316" s="15"/>
      <c r="E316" s="50"/>
      <c r="F316" s="15"/>
      <c r="G316" s="15"/>
      <c r="H316" s="51"/>
      <c r="I316" s="23"/>
      <c r="J316" s="15"/>
      <c r="K316" s="15"/>
      <c r="L316" s="52"/>
    </row>
    <row r="317" spans="1:12" ht="13.2">
      <c r="A317" s="36"/>
      <c r="B317" s="36"/>
      <c r="C317" s="27"/>
      <c r="D317" s="36"/>
      <c r="E317" s="47"/>
      <c r="F317" s="36"/>
      <c r="G317" s="36"/>
      <c r="H317" s="48"/>
      <c r="I317" s="28"/>
      <c r="J317" s="36"/>
      <c r="K317" s="36"/>
      <c r="L317" s="49"/>
    </row>
    <row r="318" spans="1:12" ht="13.2">
      <c r="A318" s="15"/>
      <c r="B318" s="15"/>
      <c r="C318" s="22"/>
      <c r="D318" s="15"/>
      <c r="E318" s="50"/>
      <c r="F318" s="15"/>
      <c r="G318" s="15"/>
      <c r="H318" s="51"/>
      <c r="I318" s="23"/>
      <c r="J318" s="15"/>
      <c r="K318" s="15"/>
      <c r="L318" s="52"/>
    </row>
    <row r="319" spans="1:12" ht="13.2">
      <c r="A319" s="36"/>
      <c r="B319" s="36"/>
      <c r="C319" s="27"/>
      <c r="D319" s="36"/>
      <c r="E319" s="47"/>
      <c r="F319" s="36"/>
      <c r="G319" s="36"/>
      <c r="H319" s="48"/>
      <c r="I319" s="28"/>
      <c r="J319" s="36"/>
      <c r="K319" s="36"/>
      <c r="L319" s="49"/>
    </row>
    <row r="320" spans="1:12" ht="13.2">
      <c r="A320" s="15"/>
      <c r="B320" s="15"/>
      <c r="C320" s="22"/>
      <c r="D320" s="15"/>
      <c r="E320" s="50"/>
      <c r="F320" s="15"/>
      <c r="G320" s="15"/>
      <c r="H320" s="51"/>
      <c r="I320" s="23"/>
      <c r="J320" s="15"/>
      <c r="K320" s="15"/>
      <c r="L320" s="52"/>
    </row>
    <row r="321" spans="1:12" ht="13.2">
      <c r="A321" s="36"/>
      <c r="B321" s="36"/>
      <c r="C321" s="27"/>
      <c r="D321" s="36"/>
      <c r="E321" s="47"/>
      <c r="F321" s="36"/>
      <c r="G321" s="36"/>
      <c r="H321" s="48"/>
      <c r="I321" s="28"/>
      <c r="J321" s="36"/>
      <c r="K321" s="36"/>
      <c r="L321" s="49"/>
    </row>
    <row r="322" spans="1:12" ht="13.2">
      <c r="A322" s="15"/>
      <c r="B322" s="15"/>
      <c r="C322" s="22"/>
      <c r="D322" s="15"/>
      <c r="E322" s="50"/>
      <c r="F322" s="15"/>
      <c r="G322" s="15"/>
      <c r="H322" s="51"/>
      <c r="I322" s="23"/>
      <c r="J322" s="15"/>
      <c r="K322" s="15"/>
      <c r="L322" s="52"/>
    </row>
    <row r="323" spans="1:12" ht="13.2">
      <c r="A323" s="36"/>
      <c r="B323" s="36"/>
      <c r="C323" s="27"/>
      <c r="D323" s="36"/>
      <c r="E323" s="47"/>
      <c r="F323" s="36"/>
      <c r="G323" s="36"/>
      <c r="H323" s="48"/>
      <c r="I323" s="28"/>
      <c r="J323" s="36"/>
      <c r="K323" s="36"/>
      <c r="L323" s="49"/>
    </row>
    <row r="324" spans="1:12" ht="13.2">
      <c r="A324" s="15"/>
      <c r="B324" s="15"/>
      <c r="C324" s="22"/>
      <c r="D324" s="15"/>
      <c r="E324" s="50"/>
      <c r="F324" s="15"/>
      <c r="G324" s="15"/>
      <c r="H324" s="51"/>
      <c r="I324" s="23"/>
      <c r="J324" s="15"/>
      <c r="K324" s="15"/>
      <c r="L324" s="52"/>
    </row>
    <row r="325" spans="1:12" ht="13.2">
      <c r="A325" s="36"/>
      <c r="B325" s="36"/>
      <c r="C325" s="27"/>
      <c r="D325" s="36"/>
      <c r="E325" s="47"/>
      <c r="F325" s="36"/>
      <c r="G325" s="36"/>
      <c r="H325" s="48"/>
      <c r="I325" s="28"/>
      <c r="J325" s="36"/>
      <c r="K325" s="36"/>
      <c r="L325" s="49"/>
    </row>
    <row r="326" spans="1:12" ht="13.2">
      <c r="A326" s="15"/>
      <c r="B326" s="15"/>
      <c r="C326" s="22"/>
      <c r="D326" s="15"/>
      <c r="E326" s="50"/>
      <c r="F326" s="15"/>
      <c r="G326" s="15"/>
      <c r="H326" s="51"/>
      <c r="I326" s="23"/>
      <c r="J326" s="15"/>
      <c r="K326" s="15"/>
      <c r="L326" s="52"/>
    </row>
    <row r="327" spans="1:12" ht="13.2">
      <c r="A327" s="36"/>
      <c r="B327" s="36"/>
      <c r="C327" s="27"/>
      <c r="D327" s="36"/>
      <c r="E327" s="47"/>
      <c r="F327" s="36"/>
      <c r="G327" s="36"/>
      <c r="H327" s="48"/>
      <c r="I327" s="28"/>
      <c r="J327" s="36"/>
      <c r="K327" s="36"/>
      <c r="L327" s="49"/>
    </row>
    <row r="328" spans="1:12" ht="13.2">
      <c r="A328" s="15"/>
      <c r="B328" s="15"/>
      <c r="C328" s="22"/>
      <c r="D328" s="15"/>
      <c r="E328" s="50"/>
      <c r="F328" s="15"/>
      <c r="G328" s="15"/>
      <c r="H328" s="51"/>
      <c r="I328" s="23"/>
      <c r="J328" s="15"/>
      <c r="K328" s="15"/>
      <c r="L328" s="52"/>
    </row>
    <row r="329" spans="1:12" ht="13.2">
      <c r="A329" s="36"/>
      <c r="B329" s="36"/>
      <c r="C329" s="27"/>
      <c r="D329" s="36"/>
      <c r="E329" s="47"/>
      <c r="F329" s="36"/>
      <c r="G329" s="36"/>
      <c r="H329" s="48"/>
      <c r="I329" s="28"/>
      <c r="J329" s="36"/>
      <c r="K329" s="36"/>
      <c r="L329" s="49"/>
    </row>
    <row r="330" spans="1:12" ht="13.2">
      <c r="A330" s="15"/>
      <c r="B330" s="15"/>
      <c r="C330" s="22"/>
      <c r="D330" s="15"/>
      <c r="E330" s="50"/>
      <c r="F330" s="15"/>
      <c r="G330" s="15"/>
      <c r="H330" s="51"/>
      <c r="I330" s="23"/>
      <c r="J330" s="15"/>
      <c r="K330" s="15"/>
      <c r="L330" s="52"/>
    </row>
    <row r="331" spans="1:12" ht="13.2">
      <c r="A331" s="36"/>
      <c r="B331" s="36"/>
      <c r="C331" s="27"/>
      <c r="D331" s="36"/>
      <c r="E331" s="47"/>
      <c r="F331" s="36"/>
      <c r="G331" s="36"/>
      <c r="H331" s="48"/>
      <c r="I331" s="28"/>
      <c r="J331" s="36"/>
      <c r="K331" s="36"/>
      <c r="L331" s="49"/>
    </row>
    <row r="332" spans="1:12" ht="13.2">
      <c r="A332" s="15"/>
      <c r="B332" s="15"/>
      <c r="C332" s="22"/>
      <c r="D332" s="15"/>
      <c r="E332" s="50"/>
      <c r="F332" s="15"/>
      <c r="G332" s="15"/>
      <c r="H332" s="51"/>
      <c r="I332" s="23"/>
      <c r="J332" s="15"/>
      <c r="K332" s="15"/>
      <c r="L332" s="52"/>
    </row>
    <row r="333" spans="1:12" ht="13.2">
      <c r="A333" s="36"/>
      <c r="B333" s="36"/>
      <c r="C333" s="27"/>
      <c r="D333" s="36"/>
      <c r="E333" s="47"/>
      <c r="F333" s="36"/>
      <c r="G333" s="36"/>
      <c r="H333" s="48"/>
      <c r="I333" s="28"/>
      <c r="J333" s="36"/>
      <c r="K333" s="36"/>
      <c r="L333" s="49"/>
    </row>
    <row r="334" spans="1:12" ht="13.2">
      <c r="A334" s="15"/>
      <c r="B334" s="15"/>
      <c r="C334" s="22"/>
      <c r="D334" s="15"/>
      <c r="E334" s="50"/>
      <c r="F334" s="15"/>
      <c r="G334" s="15"/>
      <c r="H334" s="51"/>
      <c r="I334" s="23"/>
      <c r="J334" s="15"/>
      <c r="K334" s="15"/>
      <c r="L334" s="52"/>
    </row>
    <row r="335" spans="1:12" ht="13.2">
      <c r="A335" s="36"/>
      <c r="B335" s="36"/>
      <c r="C335" s="27"/>
      <c r="D335" s="36"/>
      <c r="E335" s="47"/>
      <c r="F335" s="36"/>
      <c r="G335" s="36"/>
      <c r="H335" s="48"/>
      <c r="I335" s="28"/>
      <c r="J335" s="36"/>
      <c r="K335" s="36"/>
      <c r="L335" s="49"/>
    </row>
    <row r="336" spans="1:12" ht="13.2">
      <c r="A336" s="15"/>
      <c r="B336" s="15"/>
      <c r="C336" s="22"/>
      <c r="D336" s="15"/>
      <c r="E336" s="50"/>
      <c r="F336" s="15"/>
      <c r="G336" s="15"/>
      <c r="H336" s="51"/>
      <c r="I336" s="23"/>
      <c r="J336" s="15"/>
      <c r="K336" s="15"/>
      <c r="L336" s="52"/>
    </row>
    <row r="337" spans="1:12" ht="13.2">
      <c r="A337" s="36"/>
      <c r="B337" s="36"/>
      <c r="C337" s="27"/>
      <c r="D337" s="36"/>
      <c r="E337" s="47"/>
      <c r="F337" s="36"/>
      <c r="G337" s="36"/>
      <c r="H337" s="48"/>
      <c r="I337" s="28"/>
      <c r="J337" s="36"/>
      <c r="K337" s="36"/>
      <c r="L337" s="49"/>
    </row>
    <row r="338" spans="1:12" ht="13.2">
      <c r="A338" s="15"/>
      <c r="B338" s="15"/>
      <c r="C338" s="22"/>
      <c r="D338" s="15"/>
      <c r="E338" s="50"/>
      <c r="F338" s="15"/>
      <c r="G338" s="15"/>
      <c r="H338" s="51"/>
      <c r="I338" s="23"/>
      <c r="J338" s="15"/>
      <c r="K338" s="15"/>
      <c r="L338" s="52"/>
    </row>
    <row r="339" spans="1:12" ht="13.2">
      <c r="A339" s="36"/>
      <c r="B339" s="36"/>
      <c r="C339" s="27"/>
      <c r="D339" s="36"/>
      <c r="E339" s="47"/>
      <c r="F339" s="36"/>
      <c r="G339" s="36"/>
      <c r="H339" s="48"/>
      <c r="I339" s="28"/>
      <c r="J339" s="36"/>
      <c r="K339" s="36"/>
      <c r="L339" s="49"/>
    </row>
    <row r="340" spans="1:12" ht="13.2">
      <c r="A340" s="15"/>
      <c r="B340" s="15"/>
      <c r="C340" s="22"/>
      <c r="D340" s="15"/>
      <c r="E340" s="50"/>
      <c r="F340" s="15"/>
      <c r="G340" s="15"/>
      <c r="H340" s="51"/>
      <c r="I340" s="23"/>
      <c r="J340" s="15"/>
      <c r="K340" s="15"/>
      <c r="L340" s="52"/>
    </row>
    <row r="341" spans="1:12" ht="13.2">
      <c r="A341" s="36"/>
      <c r="B341" s="36"/>
      <c r="C341" s="27"/>
      <c r="D341" s="36"/>
      <c r="E341" s="47"/>
      <c r="F341" s="36"/>
      <c r="G341" s="36"/>
      <c r="H341" s="48"/>
      <c r="I341" s="28"/>
      <c r="J341" s="36"/>
      <c r="K341" s="36"/>
      <c r="L341" s="49"/>
    </row>
    <row r="342" spans="1:12" ht="13.2">
      <c r="A342" s="15"/>
      <c r="B342" s="15"/>
      <c r="C342" s="22"/>
      <c r="D342" s="15"/>
      <c r="E342" s="50"/>
      <c r="F342" s="15"/>
      <c r="G342" s="15"/>
      <c r="H342" s="51"/>
      <c r="I342" s="23"/>
      <c r="J342" s="15"/>
      <c r="K342" s="15"/>
      <c r="L342" s="52"/>
    </row>
    <row r="343" spans="1:12" ht="13.2">
      <c r="A343" s="36"/>
      <c r="B343" s="36"/>
      <c r="C343" s="27"/>
      <c r="D343" s="36"/>
      <c r="E343" s="47"/>
      <c r="F343" s="36"/>
      <c r="G343" s="36"/>
      <c r="H343" s="48"/>
      <c r="I343" s="28"/>
      <c r="J343" s="36"/>
      <c r="K343" s="36"/>
      <c r="L343" s="49"/>
    </row>
    <row r="344" spans="1:12" ht="13.2">
      <c r="A344" s="15"/>
      <c r="B344" s="15"/>
      <c r="C344" s="22"/>
      <c r="D344" s="15"/>
      <c r="E344" s="50"/>
      <c r="F344" s="15"/>
      <c r="G344" s="15"/>
      <c r="H344" s="51"/>
      <c r="I344" s="23"/>
      <c r="J344" s="15"/>
      <c r="K344" s="15"/>
      <c r="L344" s="52"/>
    </row>
    <row r="345" spans="1:12" ht="13.2">
      <c r="A345" s="36"/>
      <c r="B345" s="36"/>
      <c r="C345" s="27"/>
      <c r="D345" s="36"/>
      <c r="E345" s="47"/>
      <c r="F345" s="36"/>
      <c r="G345" s="36"/>
      <c r="H345" s="48"/>
      <c r="I345" s="28"/>
      <c r="J345" s="36"/>
      <c r="K345" s="36"/>
      <c r="L345" s="49"/>
    </row>
    <row r="346" spans="1:12" ht="13.2">
      <c r="A346" s="15"/>
      <c r="B346" s="15"/>
      <c r="C346" s="22"/>
      <c r="D346" s="15"/>
      <c r="E346" s="50"/>
      <c r="F346" s="15"/>
      <c r="G346" s="15"/>
      <c r="H346" s="51"/>
      <c r="I346" s="23"/>
      <c r="J346" s="15"/>
      <c r="K346" s="15"/>
      <c r="L346" s="52"/>
    </row>
    <row r="347" spans="1:12" ht="13.2">
      <c r="A347" s="36"/>
      <c r="B347" s="36"/>
      <c r="C347" s="27"/>
      <c r="D347" s="36"/>
      <c r="E347" s="47"/>
      <c r="F347" s="36"/>
      <c r="G347" s="36"/>
      <c r="H347" s="48"/>
      <c r="I347" s="28"/>
      <c r="J347" s="36"/>
      <c r="K347" s="36"/>
      <c r="L347" s="49"/>
    </row>
    <row r="348" spans="1:12" ht="13.2">
      <c r="A348" s="15"/>
      <c r="B348" s="15"/>
      <c r="C348" s="22"/>
      <c r="D348" s="15"/>
      <c r="E348" s="50"/>
      <c r="F348" s="15"/>
      <c r="G348" s="15"/>
      <c r="H348" s="51"/>
      <c r="I348" s="23"/>
      <c r="J348" s="15"/>
      <c r="K348" s="15"/>
      <c r="L348" s="52"/>
    </row>
    <row r="349" spans="1:12" ht="13.2">
      <c r="A349" s="36"/>
      <c r="B349" s="36"/>
      <c r="C349" s="27"/>
      <c r="D349" s="36"/>
      <c r="E349" s="47"/>
      <c r="F349" s="36"/>
      <c r="G349" s="36"/>
      <c r="H349" s="48"/>
      <c r="I349" s="28"/>
      <c r="J349" s="36"/>
      <c r="K349" s="36"/>
      <c r="L349" s="49"/>
    </row>
    <row r="350" spans="1:12" ht="13.2">
      <c r="A350" s="15"/>
      <c r="B350" s="15"/>
      <c r="C350" s="22"/>
      <c r="D350" s="15"/>
      <c r="E350" s="50"/>
      <c r="F350" s="15"/>
      <c r="G350" s="15"/>
      <c r="H350" s="51"/>
      <c r="I350" s="23"/>
      <c r="J350" s="15"/>
      <c r="K350" s="15"/>
      <c r="L350" s="52"/>
    </row>
    <row r="351" spans="1:12" ht="13.2">
      <c r="A351" s="36"/>
      <c r="B351" s="36"/>
      <c r="C351" s="27"/>
      <c r="D351" s="36"/>
      <c r="E351" s="47"/>
      <c r="F351" s="36"/>
      <c r="G351" s="36"/>
      <c r="H351" s="48"/>
      <c r="I351" s="28"/>
      <c r="J351" s="36"/>
      <c r="K351" s="36"/>
      <c r="L351" s="49"/>
    </row>
    <row r="352" spans="1:12" ht="13.2">
      <c r="A352" s="15"/>
      <c r="B352" s="15"/>
      <c r="C352" s="22"/>
      <c r="D352" s="15"/>
      <c r="E352" s="50"/>
      <c r="F352" s="15"/>
      <c r="G352" s="15"/>
      <c r="H352" s="51"/>
      <c r="I352" s="23"/>
      <c r="J352" s="15"/>
      <c r="K352" s="15"/>
      <c r="L352" s="52"/>
    </row>
    <row r="353" spans="1:12" ht="13.2">
      <c r="A353" s="36"/>
      <c r="B353" s="36"/>
      <c r="C353" s="27"/>
      <c r="D353" s="36"/>
      <c r="E353" s="47"/>
      <c r="F353" s="36"/>
      <c r="G353" s="36"/>
      <c r="H353" s="48"/>
      <c r="I353" s="28"/>
      <c r="J353" s="36"/>
      <c r="K353" s="36"/>
      <c r="L353" s="49"/>
    </row>
    <row r="354" spans="1:12" ht="13.2">
      <c r="A354" s="15"/>
      <c r="B354" s="15"/>
      <c r="C354" s="22"/>
      <c r="D354" s="15"/>
      <c r="E354" s="50"/>
      <c r="F354" s="15"/>
      <c r="G354" s="15"/>
      <c r="H354" s="51"/>
      <c r="I354" s="23"/>
      <c r="J354" s="15"/>
      <c r="K354" s="15"/>
      <c r="L354" s="52"/>
    </row>
    <row r="355" spans="1:12" ht="13.2">
      <c r="A355" s="36"/>
      <c r="B355" s="36"/>
      <c r="C355" s="27"/>
      <c r="D355" s="36"/>
      <c r="E355" s="47"/>
      <c r="F355" s="36"/>
      <c r="G355" s="36"/>
      <c r="H355" s="48"/>
      <c r="I355" s="28"/>
      <c r="J355" s="36"/>
      <c r="K355" s="36"/>
      <c r="L355" s="49"/>
    </row>
    <row r="356" spans="1:12" ht="13.2">
      <c r="A356" s="15"/>
      <c r="B356" s="15"/>
      <c r="C356" s="22"/>
      <c r="D356" s="15"/>
      <c r="E356" s="50"/>
      <c r="F356" s="15"/>
      <c r="G356" s="15"/>
      <c r="H356" s="51"/>
      <c r="I356" s="23"/>
      <c r="J356" s="15"/>
      <c r="K356" s="15"/>
      <c r="L356" s="52"/>
    </row>
    <row r="357" spans="1:12" ht="13.2">
      <c r="A357" s="36"/>
      <c r="B357" s="36"/>
      <c r="C357" s="27"/>
      <c r="D357" s="36"/>
      <c r="E357" s="47"/>
      <c r="F357" s="36"/>
      <c r="G357" s="36"/>
      <c r="H357" s="48"/>
      <c r="I357" s="28"/>
      <c r="J357" s="36"/>
      <c r="K357" s="36"/>
      <c r="L357" s="49"/>
    </row>
    <row r="358" spans="1:12" ht="13.2">
      <c r="A358" s="15"/>
      <c r="B358" s="15"/>
      <c r="C358" s="22"/>
      <c r="D358" s="15"/>
      <c r="E358" s="50"/>
      <c r="F358" s="15"/>
      <c r="G358" s="15"/>
      <c r="H358" s="51"/>
      <c r="I358" s="23"/>
      <c r="J358" s="15"/>
      <c r="K358" s="15"/>
      <c r="L358" s="52"/>
    </row>
    <row r="359" spans="1:12" ht="13.2">
      <c r="A359" s="36"/>
      <c r="B359" s="36"/>
      <c r="C359" s="27"/>
      <c r="D359" s="36"/>
      <c r="E359" s="47"/>
      <c r="F359" s="36"/>
      <c r="G359" s="36"/>
      <c r="H359" s="48"/>
      <c r="I359" s="28"/>
      <c r="J359" s="36"/>
      <c r="K359" s="36"/>
      <c r="L359" s="49"/>
    </row>
    <row r="360" spans="1:12" ht="13.2">
      <c r="A360" s="15"/>
      <c r="B360" s="15"/>
      <c r="C360" s="22"/>
      <c r="D360" s="15"/>
      <c r="E360" s="50"/>
      <c r="F360" s="15"/>
      <c r="G360" s="15"/>
      <c r="H360" s="51"/>
      <c r="I360" s="23"/>
      <c r="J360" s="15"/>
      <c r="K360" s="15"/>
      <c r="L360" s="52"/>
    </row>
    <row r="361" spans="1:12" ht="13.2">
      <c r="A361" s="36"/>
      <c r="B361" s="36"/>
      <c r="C361" s="27"/>
      <c r="D361" s="36"/>
      <c r="E361" s="47"/>
      <c r="F361" s="36"/>
      <c r="G361" s="36"/>
      <c r="H361" s="48"/>
      <c r="I361" s="28"/>
      <c r="J361" s="36"/>
      <c r="K361" s="36"/>
      <c r="L361" s="49"/>
    </row>
    <row r="362" spans="1:12" ht="13.2">
      <c r="A362" s="15"/>
      <c r="B362" s="15"/>
      <c r="C362" s="22"/>
      <c r="D362" s="15"/>
      <c r="E362" s="50"/>
      <c r="F362" s="15"/>
      <c r="G362" s="15"/>
      <c r="H362" s="51"/>
      <c r="I362" s="23"/>
      <c r="J362" s="15"/>
      <c r="K362" s="15"/>
      <c r="L362" s="52"/>
    </row>
    <row r="363" spans="1:12" ht="13.2">
      <c r="A363" s="36"/>
      <c r="B363" s="36"/>
      <c r="C363" s="27"/>
      <c r="D363" s="36"/>
      <c r="E363" s="47"/>
      <c r="F363" s="36"/>
      <c r="G363" s="36"/>
      <c r="H363" s="48"/>
      <c r="I363" s="28"/>
      <c r="J363" s="36"/>
      <c r="K363" s="36"/>
      <c r="L363" s="49"/>
    </row>
    <row r="364" spans="1:12" ht="13.2">
      <c r="A364" s="15"/>
      <c r="B364" s="15"/>
      <c r="C364" s="22"/>
      <c r="D364" s="15"/>
      <c r="E364" s="50"/>
      <c r="F364" s="15"/>
      <c r="G364" s="15"/>
      <c r="H364" s="51"/>
      <c r="I364" s="23"/>
      <c r="J364" s="15"/>
      <c r="K364" s="15"/>
      <c r="L364" s="52"/>
    </row>
    <row r="365" spans="1:12" ht="13.2">
      <c r="A365" s="36"/>
      <c r="B365" s="36"/>
      <c r="C365" s="27"/>
      <c r="D365" s="36"/>
      <c r="E365" s="47"/>
      <c r="F365" s="36"/>
      <c r="G365" s="36"/>
      <c r="H365" s="48"/>
      <c r="I365" s="28"/>
      <c r="J365" s="36"/>
      <c r="K365" s="36"/>
      <c r="L365" s="49"/>
    </row>
    <row r="366" spans="1:12" ht="13.2">
      <c r="A366" s="15"/>
      <c r="B366" s="15"/>
      <c r="C366" s="22"/>
      <c r="D366" s="15"/>
      <c r="E366" s="50"/>
      <c r="F366" s="15"/>
      <c r="G366" s="15"/>
      <c r="H366" s="51"/>
      <c r="I366" s="23"/>
      <c r="J366" s="15"/>
      <c r="K366" s="15"/>
      <c r="L366" s="52"/>
    </row>
    <row r="367" spans="1:12" ht="13.2">
      <c r="A367" s="36"/>
      <c r="B367" s="36"/>
      <c r="C367" s="27"/>
      <c r="D367" s="36"/>
      <c r="E367" s="47"/>
      <c r="F367" s="36"/>
      <c r="G367" s="36"/>
      <c r="H367" s="48"/>
      <c r="I367" s="28"/>
      <c r="J367" s="36"/>
      <c r="K367" s="36"/>
      <c r="L367" s="49"/>
    </row>
    <row r="368" spans="1:12" ht="13.2">
      <c r="A368" s="15"/>
      <c r="B368" s="15"/>
      <c r="C368" s="22"/>
      <c r="D368" s="15"/>
      <c r="E368" s="50"/>
      <c r="F368" s="15"/>
      <c r="G368" s="15"/>
      <c r="H368" s="51"/>
      <c r="I368" s="23"/>
      <c r="J368" s="15"/>
      <c r="K368" s="15"/>
      <c r="L368" s="52"/>
    </row>
    <row r="369" spans="1:12" ht="13.2">
      <c r="A369" s="36"/>
      <c r="B369" s="36"/>
      <c r="C369" s="27"/>
      <c r="D369" s="36"/>
      <c r="E369" s="47"/>
      <c r="F369" s="36"/>
      <c r="G369" s="36"/>
      <c r="H369" s="48"/>
      <c r="I369" s="28"/>
      <c r="J369" s="36"/>
      <c r="K369" s="36"/>
      <c r="L369" s="49"/>
    </row>
    <row r="370" spans="1:12" ht="13.2">
      <c r="A370" s="15"/>
      <c r="B370" s="15"/>
      <c r="C370" s="22"/>
      <c r="D370" s="15"/>
      <c r="E370" s="50"/>
      <c r="F370" s="15"/>
      <c r="G370" s="15"/>
      <c r="H370" s="51"/>
      <c r="I370" s="23"/>
      <c r="J370" s="15"/>
      <c r="K370" s="15"/>
      <c r="L370" s="52"/>
    </row>
    <row r="371" spans="1:12" ht="13.2">
      <c r="A371" s="36"/>
      <c r="B371" s="36"/>
      <c r="C371" s="27"/>
      <c r="D371" s="36"/>
      <c r="E371" s="47"/>
      <c r="F371" s="36"/>
      <c r="G371" s="36"/>
      <c r="H371" s="48"/>
      <c r="I371" s="28"/>
      <c r="J371" s="36"/>
      <c r="K371" s="36"/>
      <c r="L371" s="49"/>
    </row>
    <row r="372" spans="1:12" ht="13.2">
      <c r="A372" s="15"/>
      <c r="B372" s="15"/>
      <c r="C372" s="22"/>
      <c r="D372" s="15"/>
      <c r="E372" s="50"/>
      <c r="F372" s="15"/>
      <c r="G372" s="15"/>
      <c r="H372" s="51"/>
      <c r="I372" s="23"/>
      <c r="J372" s="15"/>
      <c r="K372" s="15"/>
      <c r="L372" s="52"/>
    </row>
    <row r="373" spans="1:12" ht="13.2">
      <c r="A373" s="36"/>
      <c r="B373" s="36"/>
      <c r="C373" s="27"/>
      <c r="D373" s="36"/>
      <c r="E373" s="47"/>
      <c r="F373" s="36"/>
      <c r="G373" s="36"/>
      <c r="H373" s="48"/>
      <c r="I373" s="28"/>
      <c r="J373" s="36"/>
      <c r="K373" s="36"/>
      <c r="L373" s="49"/>
    </row>
    <row r="374" spans="1:12" ht="13.2">
      <c r="A374" s="15"/>
      <c r="B374" s="15"/>
      <c r="C374" s="22"/>
      <c r="D374" s="15"/>
      <c r="E374" s="50"/>
      <c r="F374" s="15"/>
      <c r="G374" s="15"/>
      <c r="H374" s="51"/>
      <c r="I374" s="23"/>
      <c r="J374" s="15"/>
      <c r="K374" s="15"/>
      <c r="L374" s="52"/>
    </row>
    <row r="375" spans="1:12" ht="13.2">
      <c r="A375" s="36"/>
      <c r="B375" s="36"/>
      <c r="C375" s="27"/>
      <c r="D375" s="36"/>
      <c r="E375" s="47"/>
      <c r="F375" s="36"/>
      <c r="G375" s="36"/>
      <c r="H375" s="48"/>
      <c r="I375" s="28"/>
      <c r="J375" s="36"/>
      <c r="K375" s="36"/>
      <c r="L375" s="49"/>
    </row>
    <row r="376" spans="1:12" ht="13.2">
      <c r="A376" s="15"/>
      <c r="B376" s="15"/>
      <c r="C376" s="22"/>
      <c r="D376" s="15"/>
      <c r="E376" s="50"/>
      <c r="F376" s="15"/>
      <c r="G376" s="15"/>
      <c r="H376" s="51"/>
      <c r="I376" s="23"/>
      <c r="J376" s="15"/>
      <c r="K376" s="15"/>
      <c r="L376" s="52"/>
    </row>
    <row r="377" spans="1:12" ht="13.2">
      <c r="A377" s="36"/>
      <c r="B377" s="36"/>
      <c r="C377" s="27"/>
      <c r="D377" s="36"/>
      <c r="E377" s="47"/>
      <c r="F377" s="36"/>
      <c r="G377" s="36"/>
      <c r="H377" s="48"/>
      <c r="I377" s="28"/>
      <c r="J377" s="36"/>
      <c r="K377" s="36"/>
      <c r="L377" s="49"/>
    </row>
    <row r="378" spans="1:12" ht="13.2">
      <c r="A378" s="15"/>
      <c r="B378" s="15"/>
      <c r="C378" s="22"/>
      <c r="D378" s="15"/>
      <c r="E378" s="50"/>
      <c r="F378" s="15"/>
      <c r="G378" s="15"/>
      <c r="H378" s="51"/>
      <c r="I378" s="23"/>
      <c r="J378" s="15"/>
      <c r="K378" s="15"/>
      <c r="L378" s="52"/>
    </row>
    <row r="379" spans="1:12" ht="13.2">
      <c r="A379" s="36"/>
      <c r="B379" s="36"/>
      <c r="C379" s="27"/>
      <c r="D379" s="36"/>
      <c r="E379" s="47"/>
      <c r="F379" s="36"/>
      <c r="G379" s="36"/>
      <c r="H379" s="48"/>
      <c r="I379" s="28"/>
      <c r="J379" s="36"/>
      <c r="K379" s="36"/>
      <c r="L379" s="49"/>
    </row>
    <row r="380" spans="1:12" ht="13.2">
      <c r="A380" s="15"/>
      <c r="B380" s="15"/>
      <c r="C380" s="22"/>
      <c r="D380" s="15"/>
      <c r="E380" s="50"/>
      <c r="F380" s="15"/>
      <c r="G380" s="15"/>
      <c r="H380" s="51"/>
      <c r="I380" s="23"/>
      <c r="J380" s="15"/>
      <c r="K380" s="15"/>
      <c r="L380" s="52"/>
    </row>
    <row r="381" spans="1:12" ht="13.2">
      <c r="A381" s="36"/>
      <c r="B381" s="36"/>
      <c r="C381" s="27"/>
      <c r="D381" s="36"/>
      <c r="E381" s="47"/>
      <c r="F381" s="36"/>
      <c r="G381" s="36"/>
      <c r="H381" s="48"/>
      <c r="I381" s="28"/>
      <c r="J381" s="36"/>
      <c r="K381" s="36"/>
      <c r="L381" s="49"/>
    </row>
    <row r="382" spans="1:12" ht="13.2">
      <c r="A382" s="15"/>
      <c r="B382" s="15"/>
      <c r="C382" s="22"/>
      <c r="D382" s="15"/>
      <c r="E382" s="50"/>
      <c r="F382" s="15"/>
      <c r="G382" s="15"/>
      <c r="H382" s="51"/>
      <c r="I382" s="23"/>
      <c r="J382" s="15"/>
      <c r="K382" s="15"/>
      <c r="L382" s="52"/>
    </row>
    <row r="383" spans="1:12" ht="13.2">
      <c r="A383" s="36"/>
      <c r="B383" s="36"/>
      <c r="C383" s="27"/>
      <c r="D383" s="36"/>
      <c r="E383" s="47"/>
      <c r="F383" s="36"/>
      <c r="G383" s="36"/>
      <c r="H383" s="48"/>
      <c r="I383" s="28"/>
      <c r="J383" s="36"/>
      <c r="K383" s="36"/>
      <c r="L383" s="49"/>
    </row>
    <row r="384" spans="1:12" ht="13.2">
      <c r="A384" s="15"/>
      <c r="B384" s="15"/>
      <c r="C384" s="22"/>
      <c r="D384" s="15"/>
      <c r="E384" s="50"/>
      <c r="F384" s="15"/>
      <c r="G384" s="15"/>
      <c r="H384" s="51"/>
      <c r="I384" s="23"/>
      <c r="J384" s="15"/>
      <c r="K384" s="15"/>
      <c r="L384" s="52"/>
    </row>
    <row r="385" spans="1:12" ht="13.2">
      <c r="A385" s="36"/>
      <c r="B385" s="36"/>
      <c r="C385" s="27"/>
      <c r="D385" s="36"/>
      <c r="E385" s="47"/>
      <c r="F385" s="36"/>
      <c r="G385" s="36"/>
      <c r="H385" s="48"/>
      <c r="I385" s="28"/>
      <c r="J385" s="36"/>
      <c r="K385" s="36"/>
      <c r="L385" s="49"/>
    </row>
    <row r="386" spans="1:12" ht="13.2">
      <c r="A386" s="15"/>
      <c r="B386" s="15"/>
      <c r="C386" s="22"/>
      <c r="D386" s="15"/>
      <c r="E386" s="50"/>
      <c r="F386" s="15"/>
      <c r="G386" s="15"/>
      <c r="H386" s="51"/>
      <c r="I386" s="23"/>
      <c r="J386" s="15"/>
      <c r="K386" s="15"/>
      <c r="L386" s="52"/>
    </row>
    <row r="387" spans="1:12" ht="13.2">
      <c r="A387" s="36"/>
      <c r="B387" s="36"/>
      <c r="C387" s="27"/>
      <c r="D387" s="36"/>
      <c r="E387" s="47"/>
      <c r="F387" s="36"/>
      <c r="G387" s="36"/>
      <c r="H387" s="48"/>
      <c r="I387" s="28"/>
      <c r="J387" s="36"/>
      <c r="K387" s="36"/>
      <c r="L387" s="49"/>
    </row>
    <row r="388" spans="1:12" ht="13.2">
      <c r="A388" s="15"/>
      <c r="B388" s="15"/>
      <c r="C388" s="22"/>
      <c r="D388" s="15"/>
      <c r="E388" s="50"/>
      <c r="F388" s="15"/>
      <c r="G388" s="15"/>
      <c r="H388" s="51"/>
      <c r="I388" s="23"/>
      <c r="J388" s="15"/>
      <c r="K388" s="15"/>
      <c r="L388" s="52"/>
    </row>
    <row r="389" spans="1:12" ht="13.2">
      <c r="A389" s="36"/>
      <c r="B389" s="36"/>
      <c r="C389" s="27"/>
      <c r="D389" s="36"/>
      <c r="E389" s="47"/>
      <c r="F389" s="36"/>
      <c r="G389" s="36"/>
      <c r="H389" s="48"/>
      <c r="I389" s="28"/>
      <c r="J389" s="36"/>
      <c r="K389" s="36"/>
      <c r="L389" s="49"/>
    </row>
    <row r="390" spans="1:12" ht="13.2">
      <c r="A390" s="15"/>
      <c r="B390" s="15"/>
      <c r="C390" s="22"/>
      <c r="D390" s="15"/>
      <c r="E390" s="50"/>
      <c r="F390" s="15"/>
      <c r="G390" s="15"/>
      <c r="H390" s="51"/>
      <c r="I390" s="23"/>
      <c r="J390" s="15"/>
      <c r="K390" s="15"/>
      <c r="L390" s="52"/>
    </row>
    <row r="391" spans="1:12" ht="13.2">
      <c r="A391" s="36"/>
      <c r="B391" s="36"/>
      <c r="C391" s="27"/>
      <c r="D391" s="36"/>
      <c r="E391" s="47"/>
      <c r="F391" s="36"/>
      <c r="G391" s="36"/>
      <c r="H391" s="48"/>
      <c r="I391" s="28"/>
      <c r="J391" s="36"/>
      <c r="K391" s="36"/>
      <c r="L391" s="49"/>
    </row>
    <row r="392" spans="1:12" ht="13.2">
      <c r="A392" s="15"/>
      <c r="B392" s="15"/>
      <c r="C392" s="22"/>
      <c r="D392" s="15"/>
      <c r="E392" s="50"/>
      <c r="F392" s="15"/>
      <c r="G392" s="15"/>
      <c r="H392" s="51"/>
      <c r="I392" s="23"/>
      <c r="J392" s="15"/>
      <c r="K392" s="15"/>
      <c r="L392" s="52"/>
    </row>
    <row r="393" spans="1:12" ht="13.2">
      <c r="A393" s="36"/>
      <c r="B393" s="36"/>
      <c r="C393" s="27"/>
      <c r="D393" s="36"/>
      <c r="E393" s="47"/>
      <c r="F393" s="36"/>
      <c r="G393" s="36"/>
      <c r="H393" s="48"/>
      <c r="I393" s="28"/>
      <c r="J393" s="36"/>
      <c r="K393" s="36"/>
      <c r="L393" s="49"/>
    </row>
    <row r="394" spans="1:12" ht="13.2">
      <c r="A394" s="15"/>
      <c r="B394" s="15"/>
      <c r="C394" s="22"/>
      <c r="D394" s="15"/>
      <c r="E394" s="50"/>
      <c r="F394" s="15"/>
      <c r="G394" s="15"/>
      <c r="H394" s="51"/>
      <c r="I394" s="23"/>
      <c r="J394" s="15"/>
      <c r="K394" s="15"/>
      <c r="L394" s="52"/>
    </row>
    <row r="395" spans="1:12" ht="13.2">
      <c r="A395" s="36"/>
      <c r="B395" s="36"/>
      <c r="C395" s="27"/>
      <c r="D395" s="36"/>
      <c r="E395" s="47"/>
      <c r="F395" s="36"/>
      <c r="G395" s="36"/>
      <c r="H395" s="48"/>
      <c r="I395" s="28"/>
      <c r="J395" s="36"/>
      <c r="K395" s="36"/>
      <c r="L395" s="49"/>
    </row>
    <row r="396" spans="1:12" ht="13.2">
      <c r="A396" s="15"/>
      <c r="B396" s="15"/>
      <c r="C396" s="22"/>
      <c r="D396" s="15"/>
      <c r="E396" s="50"/>
      <c r="F396" s="15"/>
      <c r="G396" s="15"/>
      <c r="H396" s="51"/>
      <c r="I396" s="23"/>
      <c r="J396" s="15"/>
      <c r="K396" s="15"/>
      <c r="L396" s="52"/>
    </row>
    <row r="397" spans="1:12" ht="13.2">
      <c r="A397" s="36"/>
      <c r="B397" s="36"/>
      <c r="C397" s="27"/>
      <c r="D397" s="36"/>
      <c r="E397" s="47"/>
      <c r="F397" s="36"/>
      <c r="G397" s="36"/>
      <c r="H397" s="48"/>
      <c r="I397" s="28"/>
      <c r="J397" s="36"/>
      <c r="K397" s="36"/>
      <c r="L397" s="49"/>
    </row>
    <row r="398" spans="1:12" ht="13.2">
      <c r="A398" s="15"/>
      <c r="B398" s="15"/>
      <c r="C398" s="22"/>
      <c r="D398" s="15"/>
      <c r="E398" s="50"/>
      <c r="F398" s="15"/>
      <c r="G398" s="15"/>
      <c r="H398" s="51"/>
      <c r="I398" s="23"/>
      <c r="J398" s="15"/>
      <c r="K398" s="15"/>
      <c r="L398" s="52"/>
    </row>
    <row r="399" spans="1:12" ht="13.2">
      <c r="A399" s="36"/>
      <c r="B399" s="36"/>
      <c r="C399" s="27"/>
      <c r="D399" s="36"/>
      <c r="E399" s="47"/>
      <c r="F399" s="36"/>
      <c r="G399" s="36"/>
      <c r="H399" s="48"/>
      <c r="I399" s="28"/>
      <c r="J399" s="36"/>
      <c r="K399" s="36"/>
      <c r="L399" s="49"/>
    </row>
    <row r="400" spans="1:12" ht="13.2">
      <c r="A400" s="15"/>
      <c r="B400" s="15"/>
      <c r="C400" s="22"/>
      <c r="D400" s="15"/>
      <c r="E400" s="50"/>
      <c r="F400" s="15"/>
      <c r="G400" s="15"/>
      <c r="H400" s="51"/>
      <c r="I400" s="23"/>
      <c r="J400" s="15"/>
      <c r="K400" s="15"/>
      <c r="L400" s="52"/>
    </row>
    <row r="401" spans="1:12" ht="13.2">
      <c r="A401" s="36"/>
      <c r="B401" s="36"/>
      <c r="C401" s="27"/>
      <c r="D401" s="36"/>
      <c r="E401" s="47"/>
      <c r="F401" s="36"/>
      <c r="G401" s="36"/>
      <c r="H401" s="48"/>
      <c r="I401" s="28"/>
      <c r="J401" s="36"/>
      <c r="K401" s="36"/>
      <c r="L401" s="49"/>
    </row>
    <row r="402" spans="1:12" ht="13.2">
      <c r="A402" s="15"/>
      <c r="B402" s="15"/>
      <c r="C402" s="22"/>
      <c r="D402" s="15"/>
      <c r="E402" s="50"/>
      <c r="F402" s="15"/>
      <c r="G402" s="15"/>
      <c r="H402" s="51"/>
      <c r="I402" s="23"/>
      <c r="J402" s="15"/>
      <c r="K402" s="15"/>
      <c r="L402" s="52"/>
    </row>
    <row r="403" spans="1:12" ht="13.2">
      <c r="A403" s="36"/>
      <c r="B403" s="36"/>
      <c r="C403" s="27"/>
      <c r="D403" s="36"/>
      <c r="E403" s="47"/>
      <c r="F403" s="36"/>
      <c r="G403" s="36"/>
      <c r="H403" s="48"/>
      <c r="I403" s="28"/>
      <c r="J403" s="36"/>
      <c r="K403" s="36"/>
      <c r="L403" s="49"/>
    </row>
    <row r="404" spans="1:12" ht="13.2">
      <c r="A404" s="15"/>
      <c r="B404" s="15"/>
      <c r="C404" s="22"/>
      <c r="D404" s="15"/>
      <c r="E404" s="50"/>
      <c r="F404" s="15"/>
      <c r="G404" s="15"/>
      <c r="H404" s="51"/>
      <c r="I404" s="23"/>
      <c r="J404" s="15"/>
      <c r="K404" s="15"/>
      <c r="L404" s="52"/>
    </row>
    <row r="405" spans="1:12" ht="13.2">
      <c r="A405" s="36"/>
      <c r="B405" s="36"/>
      <c r="C405" s="27"/>
      <c r="D405" s="36"/>
      <c r="E405" s="47"/>
      <c r="F405" s="36"/>
      <c r="G405" s="36"/>
      <c r="H405" s="48"/>
      <c r="I405" s="28"/>
      <c r="J405" s="36"/>
      <c r="K405" s="36"/>
      <c r="L405" s="49"/>
    </row>
    <row r="406" spans="1:12" ht="13.2">
      <c r="A406" s="15"/>
      <c r="B406" s="15"/>
      <c r="C406" s="22"/>
      <c r="D406" s="15"/>
      <c r="E406" s="50"/>
      <c r="F406" s="15"/>
      <c r="G406" s="15"/>
      <c r="H406" s="51"/>
      <c r="I406" s="23"/>
      <c r="J406" s="15"/>
      <c r="K406" s="15"/>
      <c r="L406" s="52"/>
    </row>
    <row r="407" spans="1:12" ht="13.2">
      <c r="A407" s="36"/>
      <c r="B407" s="36"/>
      <c r="C407" s="27"/>
      <c r="D407" s="36"/>
      <c r="E407" s="47"/>
      <c r="F407" s="36"/>
      <c r="G407" s="36"/>
      <c r="H407" s="48"/>
      <c r="I407" s="28"/>
      <c r="J407" s="36"/>
      <c r="K407" s="36"/>
      <c r="L407" s="49"/>
    </row>
    <row r="408" spans="1:12" ht="13.2">
      <c r="A408" s="15"/>
      <c r="B408" s="15"/>
      <c r="C408" s="22"/>
      <c r="D408" s="15"/>
      <c r="E408" s="50"/>
      <c r="F408" s="15"/>
      <c r="G408" s="15"/>
      <c r="H408" s="51"/>
      <c r="I408" s="23"/>
      <c r="J408" s="15"/>
      <c r="K408" s="15"/>
      <c r="L408" s="52"/>
    </row>
    <row r="409" spans="1:12" ht="13.2">
      <c r="A409" s="36"/>
      <c r="B409" s="36"/>
      <c r="C409" s="27"/>
      <c r="D409" s="36"/>
      <c r="E409" s="47"/>
      <c r="F409" s="36"/>
      <c r="G409" s="36"/>
      <c r="H409" s="48"/>
      <c r="I409" s="28"/>
      <c r="J409" s="36"/>
      <c r="K409" s="36"/>
      <c r="L409" s="49"/>
    </row>
    <row r="410" spans="1:12" ht="13.2">
      <c r="A410" s="15"/>
      <c r="B410" s="15"/>
      <c r="C410" s="22"/>
      <c r="D410" s="15"/>
      <c r="E410" s="50"/>
      <c r="F410" s="15"/>
      <c r="G410" s="15"/>
      <c r="H410" s="51"/>
      <c r="I410" s="23"/>
      <c r="J410" s="15"/>
      <c r="K410" s="15"/>
      <c r="L410" s="52"/>
    </row>
    <row r="411" spans="1:12" ht="13.2">
      <c r="A411" s="36"/>
      <c r="B411" s="36"/>
      <c r="C411" s="27"/>
      <c r="D411" s="36"/>
      <c r="E411" s="47"/>
      <c r="F411" s="36"/>
      <c r="G411" s="36"/>
      <c r="H411" s="48"/>
      <c r="I411" s="28"/>
      <c r="J411" s="36"/>
      <c r="K411" s="36"/>
      <c r="L411" s="49"/>
    </row>
    <row r="412" spans="1:12" ht="13.2">
      <c r="A412" s="15"/>
      <c r="B412" s="15"/>
      <c r="C412" s="22"/>
      <c r="D412" s="15"/>
      <c r="E412" s="50"/>
      <c r="F412" s="15"/>
      <c r="G412" s="15"/>
      <c r="H412" s="51"/>
      <c r="I412" s="23"/>
      <c r="J412" s="15"/>
      <c r="K412" s="15"/>
      <c r="L412" s="52"/>
    </row>
    <row r="413" spans="1:12" ht="13.2">
      <c r="A413" s="36"/>
      <c r="B413" s="36"/>
      <c r="C413" s="27"/>
      <c r="D413" s="36"/>
      <c r="E413" s="47"/>
      <c r="F413" s="36"/>
      <c r="G413" s="36"/>
      <c r="H413" s="48"/>
      <c r="I413" s="28"/>
      <c r="J413" s="36"/>
      <c r="K413" s="36"/>
      <c r="L413" s="49"/>
    </row>
    <row r="414" spans="1:12" ht="13.2">
      <c r="A414" s="15"/>
      <c r="B414" s="15"/>
      <c r="C414" s="22"/>
      <c r="D414" s="15"/>
      <c r="E414" s="50"/>
      <c r="F414" s="15"/>
      <c r="G414" s="15"/>
      <c r="H414" s="51"/>
      <c r="I414" s="23"/>
      <c r="J414" s="15"/>
      <c r="K414" s="15"/>
      <c r="L414" s="52"/>
    </row>
    <row r="415" spans="1:12" ht="13.2">
      <c r="A415" s="36"/>
      <c r="B415" s="36"/>
      <c r="C415" s="27"/>
      <c r="D415" s="36"/>
      <c r="E415" s="47"/>
      <c r="F415" s="36"/>
      <c r="G415" s="36"/>
      <c r="H415" s="48"/>
      <c r="I415" s="28"/>
      <c r="J415" s="36"/>
      <c r="K415" s="36"/>
      <c r="L415" s="49"/>
    </row>
    <row r="416" spans="1:12" ht="13.2">
      <c r="A416" s="15"/>
      <c r="B416" s="15"/>
      <c r="C416" s="22"/>
      <c r="D416" s="15"/>
      <c r="E416" s="50"/>
      <c r="F416" s="15"/>
      <c r="G416" s="15"/>
      <c r="H416" s="51"/>
      <c r="I416" s="23"/>
      <c r="J416" s="15"/>
      <c r="K416" s="15"/>
      <c r="L416" s="52"/>
    </row>
    <row r="417" spans="1:12" ht="13.2">
      <c r="A417" s="36"/>
      <c r="B417" s="36"/>
      <c r="C417" s="27"/>
      <c r="D417" s="36"/>
      <c r="E417" s="47"/>
      <c r="F417" s="36"/>
      <c r="G417" s="36"/>
      <c r="H417" s="48"/>
      <c r="I417" s="28"/>
      <c r="J417" s="36"/>
      <c r="K417" s="36"/>
      <c r="L417" s="49"/>
    </row>
    <row r="418" spans="1:12" ht="13.2">
      <c r="A418" s="15"/>
      <c r="B418" s="15"/>
      <c r="C418" s="22"/>
      <c r="D418" s="15"/>
      <c r="E418" s="50"/>
      <c r="F418" s="15"/>
      <c r="G418" s="15"/>
      <c r="H418" s="51"/>
      <c r="I418" s="23"/>
      <c r="J418" s="15"/>
      <c r="K418" s="15"/>
      <c r="L418" s="52"/>
    </row>
    <row r="419" spans="1:12" ht="13.2">
      <c r="A419" s="36"/>
      <c r="B419" s="36"/>
      <c r="C419" s="27"/>
      <c r="D419" s="36"/>
      <c r="E419" s="47"/>
      <c r="F419" s="36"/>
      <c r="G419" s="36"/>
      <c r="H419" s="48"/>
      <c r="I419" s="28"/>
      <c r="J419" s="36"/>
      <c r="K419" s="36"/>
      <c r="L419" s="49"/>
    </row>
    <row r="420" spans="1:12" ht="13.2">
      <c r="A420" s="15"/>
      <c r="B420" s="15"/>
      <c r="C420" s="22"/>
      <c r="D420" s="15"/>
      <c r="E420" s="50"/>
      <c r="F420" s="15"/>
      <c r="G420" s="15"/>
      <c r="H420" s="51"/>
      <c r="I420" s="23"/>
      <c r="J420" s="15"/>
      <c r="K420" s="15"/>
      <c r="L420" s="52"/>
    </row>
    <row r="421" spans="1:12" ht="13.2">
      <c r="A421" s="36"/>
      <c r="B421" s="36"/>
      <c r="C421" s="27"/>
      <c r="D421" s="36"/>
      <c r="E421" s="47"/>
      <c r="F421" s="36"/>
      <c r="G421" s="36"/>
      <c r="H421" s="48"/>
      <c r="I421" s="28"/>
      <c r="J421" s="36"/>
      <c r="K421" s="36"/>
      <c r="L421" s="49"/>
    </row>
    <row r="422" spans="1:12" ht="13.2">
      <c r="A422" s="15"/>
      <c r="B422" s="15"/>
      <c r="C422" s="22"/>
      <c r="D422" s="15"/>
      <c r="E422" s="50"/>
      <c r="F422" s="15"/>
      <c r="G422" s="15"/>
      <c r="H422" s="51"/>
      <c r="I422" s="23"/>
      <c r="J422" s="15"/>
      <c r="K422" s="15"/>
      <c r="L422" s="52"/>
    </row>
    <row r="423" spans="1:12" ht="13.2">
      <c r="A423" s="36"/>
      <c r="B423" s="36"/>
      <c r="C423" s="27"/>
      <c r="D423" s="36"/>
      <c r="E423" s="47"/>
      <c r="F423" s="36"/>
      <c r="G423" s="36"/>
      <c r="H423" s="48"/>
      <c r="I423" s="28"/>
      <c r="J423" s="36"/>
      <c r="K423" s="36"/>
      <c r="L423" s="49"/>
    </row>
    <row r="424" spans="1:12" ht="13.2">
      <c r="A424" s="15"/>
      <c r="B424" s="15"/>
      <c r="C424" s="22"/>
      <c r="D424" s="15"/>
      <c r="E424" s="50"/>
      <c r="F424" s="15"/>
      <c r="G424" s="15"/>
      <c r="H424" s="51"/>
      <c r="I424" s="23"/>
      <c r="J424" s="15"/>
      <c r="K424" s="15"/>
      <c r="L424" s="52"/>
    </row>
    <row r="425" spans="1:12" ht="13.2">
      <c r="A425" s="36"/>
      <c r="B425" s="36"/>
      <c r="C425" s="27"/>
      <c r="D425" s="36"/>
      <c r="E425" s="47"/>
      <c r="F425" s="36"/>
      <c r="G425" s="36"/>
      <c r="H425" s="48"/>
      <c r="I425" s="28"/>
      <c r="J425" s="36"/>
      <c r="K425" s="36"/>
      <c r="L425" s="49"/>
    </row>
    <row r="426" spans="1:12" ht="13.2">
      <c r="A426" s="15"/>
      <c r="B426" s="15"/>
      <c r="C426" s="22"/>
      <c r="D426" s="15"/>
      <c r="E426" s="50"/>
      <c r="F426" s="15"/>
      <c r="G426" s="15"/>
      <c r="H426" s="51"/>
      <c r="I426" s="23"/>
      <c r="J426" s="15"/>
      <c r="K426" s="15"/>
      <c r="L426" s="52"/>
    </row>
    <row r="427" spans="1:12" ht="13.2">
      <c r="A427" s="36"/>
      <c r="B427" s="36"/>
      <c r="C427" s="27"/>
      <c r="D427" s="36"/>
      <c r="E427" s="47"/>
      <c r="F427" s="36"/>
      <c r="G427" s="36"/>
      <c r="H427" s="48"/>
      <c r="I427" s="28"/>
      <c r="J427" s="36"/>
      <c r="K427" s="36"/>
      <c r="L427" s="49"/>
    </row>
    <row r="428" spans="1:12" ht="13.2">
      <c r="A428" s="15"/>
      <c r="B428" s="15"/>
      <c r="C428" s="22"/>
      <c r="D428" s="15"/>
      <c r="E428" s="50"/>
      <c r="F428" s="15"/>
      <c r="G428" s="15"/>
      <c r="H428" s="51"/>
      <c r="I428" s="23"/>
      <c r="J428" s="15"/>
      <c r="K428" s="15"/>
      <c r="L428" s="52"/>
    </row>
    <row r="429" spans="1:12" ht="13.2">
      <c r="A429" s="36"/>
      <c r="B429" s="36"/>
      <c r="C429" s="27"/>
      <c r="D429" s="36"/>
      <c r="E429" s="47"/>
      <c r="F429" s="36"/>
      <c r="G429" s="36"/>
      <c r="H429" s="48"/>
      <c r="I429" s="28"/>
      <c r="J429" s="36"/>
      <c r="K429" s="36"/>
      <c r="L429" s="49"/>
    </row>
    <row r="430" spans="1:12" ht="13.2">
      <c r="A430" s="15"/>
      <c r="B430" s="15"/>
      <c r="C430" s="22"/>
      <c r="D430" s="15"/>
      <c r="E430" s="50"/>
      <c r="F430" s="15"/>
      <c r="G430" s="15"/>
      <c r="H430" s="51"/>
      <c r="I430" s="23"/>
      <c r="J430" s="15"/>
      <c r="K430" s="15"/>
      <c r="L430" s="52"/>
    </row>
    <row r="431" spans="1:12" ht="13.2">
      <c r="A431" s="36"/>
      <c r="B431" s="36"/>
      <c r="C431" s="27"/>
      <c r="D431" s="36"/>
      <c r="E431" s="47"/>
      <c r="F431" s="36"/>
      <c r="G431" s="36"/>
      <c r="H431" s="48"/>
      <c r="I431" s="28"/>
      <c r="J431" s="36"/>
      <c r="K431" s="36"/>
      <c r="L431" s="49"/>
    </row>
    <row r="432" spans="1:12" ht="13.2">
      <c r="A432" s="15"/>
      <c r="B432" s="15"/>
      <c r="C432" s="22"/>
      <c r="D432" s="15"/>
      <c r="E432" s="50"/>
      <c r="F432" s="15"/>
      <c r="G432" s="15"/>
      <c r="H432" s="51"/>
      <c r="I432" s="23"/>
      <c r="J432" s="15"/>
      <c r="K432" s="15"/>
      <c r="L432" s="52"/>
    </row>
    <row r="433" spans="1:12" ht="13.2">
      <c r="A433" s="36"/>
      <c r="B433" s="36"/>
      <c r="C433" s="27"/>
      <c r="D433" s="36"/>
      <c r="E433" s="47"/>
      <c r="F433" s="36"/>
      <c r="G433" s="36"/>
      <c r="H433" s="48"/>
      <c r="I433" s="28"/>
      <c r="J433" s="36"/>
      <c r="K433" s="36"/>
      <c r="L433" s="49"/>
    </row>
    <row r="434" spans="1:12" ht="13.2">
      <c r="A434" s="15"/>
      <c r="B434" s="15"/>
      <c r="C434" s="22"/>
      <c r="D434" s="15"/>
      <c r="E434" s="50"/>
      <c r="F434" s="15"/>
      <c r="G434" s="15"/>
      <c r="H434" s="51"/>
      <c r="I434" s="23"/>
      <c r="J434" s="15"/>
      <c r="K434" s="15"/>
      <c r="L434" s="52"/>
    </row>
    <row r="435" spans="1:12" ht="13.2">
      <c r="A435" s="36"/>
      <c r="B435" s="36"/>
      <c r="C435" s="27"/>
      <c r="D435" s="36"/>
      <c r="E435" s="47"/>
      <c r="F435" s="36"/>
      <c r="G435" s="36"/>
      <c r="H435" s="48"/>
      <c r="I435" s="28"/>
      <c r="J435" s="36"/>
      <c r="K435" s="36"/>
      <c r="L435" s="49"/>
    </row>
    <row r="436" spans="1:12" ht="13.2">
      <c r="A436" s="15"/>
      <c r="B436" s="15"/>
      <c r="C436" s="22"/>
      <c r="D436" s="15"/>
      <c r="E436" s="50"/>
      <c r="F436" s="15"/>
      <c r="G436" s="15"/>
      <c r="H436" s="51"/>
      <c r="I436" s="23"/>
      <c r="J436" s="15"/>
      <c r="K436" s="15"/>
      <c r="L436" s="52"/>
    </row>
    <row r="437" spans="1:12" ht="13.2">
      <c r="A437" s="36"/>
      <c r="B437" s="36"/>
      <c r="C437" s="27"/>
      <c r="D437" s="36"/>
      <c r="E437" s="47"/>
      <c r="F437" s="36"/>
      <c r="G437" s="36"/>
      <c r="H437" s="48"/>
      <c r="I437" s="28"/>
      <c r="J437" s="36"/>
      <c r="K437" s="36"/>
      <c r="L437" s="49"/>
    </row>
    <row r="438" spans="1:12" ht="13.2">
      <c r="A438" s="15"/>
      <c r="B438" s="15"/>
      <c r="C438" s="22"/>
      <c r="D438" s="15"/>
      <c r="E438" s="50"/>
      <c r="F438" s="15"/>
      <c r="G438" s="15"/>
      <c r="H438" s="51"/>
      <c r="I438" s="23"/>
      <c r="J438" s="15"/>
      <c r="K438" s="15"/>
      <c r="L438" s="52"/>
    </row>
    <row r="439" spans="1:12" ht="13.2">
      <c r="A439" s="36"/>
      <c r="B439" s="36"/>
      <c r="C439" s="27"/>
      <c r="D439" s="36"/>
      <c r="E439" s="47"/>
      <c r="F439" s="36"/>
      <c r="G439" s="36"/>
      <c r="H439" s="48"/>
      <c r="I439" s="28"/>
      <c r="J439" s="36"/>
      <c r="K439" s="36"/>
      <c r="L439" s="49"/>
    </row>
    <row r="440" spans="1:12" ht="13.2">
      <c r="A440" s="15"/>
      <c r="B440" s="15"/>
      <c r="C440" s="22"/>
      <c r="D440" s="15"/>
      <c r="E440" s="50"/>
      <c r="F440" s="15"/>
      <c r="G440" s="15"/>
      <c r="H440" s="51"/>
      <c r="I440" s="23"/>
      <c r="J440" s="15"/>
      <c r="K440" s="15"/>
      <c r="L440" s="52"/>
    </row>
    <row r="441" spans="1:12" ht="13.2">
      <c r="A441" s="36"/>
      <c r="B441" s="36"/>
      <c r="C441" s="27"/>
      <c r="D441" s="36"/>
      <c r="E441" s="47"/>
      <c r="F441" s="36"/>
      <c r="G441" s="36"/>
      <c r="H441" s="48"/>
      <c r="I441" s="28"/>
      <c r="J441" s="36"/>
      <c r="K441" s="36"/>
      <c r="L441" s="49"/>
    </row>
    <row r="442" spans="1:12" ht="13.2">
      <c r="A442" s="15"/>
      <c r="B442" s="15"/>
      <c r="C442" s="22"/>
      <c r="D442" s="15"/>
      <c r="E442" s="50"/>
      <c r="F442" s="15"/>
      <c r="G442" s="15"/>
      <c r="H442" s="51"/>
      <c r="I442" s="23"/>
      <c r="J442" s="15"/>
      <c r="K442" s="15"/>
      <c r="L442" s="52"/>
    </row>
    <row r="443" spans="1:12" ht="13.2">
      <c r="A443" s="36"/>
      <c r="B443" s="36"/>
      <c r="C443" s="27"/>
      <c r="D443" s="36"/>
      <c r="E443" s="47"/>
      <c r="F443" s="36"/>
      <c r="G443" s="36"/>
      <c r="H443" s="48"/>
      <c r="I443" s="28"/>
      <c r="J443" s="36"/>
      <c r="K443" s="36"/>
      <c r="L443" s="49"/>
    </row>
    <row r="444" spans="1:12" ht="13.2">
      <c r="A444" s="15"/>
      <c r="B444" s="15"/>
      <c r="C444" s="22"/>
      <c r="D444" s="15"/>
      <c r="E444" s="50"/>
      <c r="F444" s="15"/>
      <c r="G444" s="15"/>
      <c r="H444" s="51"/>
      <c r="I444" s="23"/>
      <c r="J444" s="15"/>
      <c r="K444" s="15"/>
      <c r="L444" s="52"/>
    </row>
    <row r="445" spans="1:12" ht="13.2">
      <c r="A445" s="36"/>
      <c r="B445" s="36"/>
      <c r="C445" s="27"/>
      <c r="D445" s="36"/>
      <c r="E445" s="47"/>
      <c r="F445" s="36"/>
      <c r="G445" s="36"/>
      <c r="H445" s="48"/>
      <c r="I445" s="28"/>
      <c r="J445" s="36"/>
      <c r="K445" s="36"/>
      <c r="L445" s="49"/>
    </row>
    <row r="446" spans="1:12" ht="13.2">
      <c r="A446" s="15"/>
      <c r="B446" s="15"/>
      <c r="C446" s="22"/>
      <c r="D446" s="15"/>
      <c r="E446" s="50"/>
      <c r="F446" s="15"/>
      <c r="G446" s="15"/>
      <c r="H446" s="51"/>
      <c r="I446" s="23"/>
      <c r="J446" s="15"/>
      <c r="K446" s="15"/>
      <c r="L446" s="52"/>
    </row>
    <row r="447" spans="1:12" ht="13.2">
      <c r="A447" s="36"/>
      <c r="B447" s="36"/>
      <c r="C447" s="27"/>
      <c r="D447" s="36"/>
      <c r="E447" s="47"/>
      <c r="F447" s="36"/>
      <c r="G447" s="36"/>
      <c r="H447" s="48"/>
      <c r="I447" s="28"/>
      <c r="J447" s="36"/>
      <c r="K447" s="36"/>
      <c r="L447" s="49"/>
    </row>
    <row r="448" spans="1:12" ht="13.2">
      <c r="A448" s="15"/>
      <c r="B448" s="15"/>
      <c r="C448" s="22"/>
      <c r="D448" s="15"/>
      <c r="E448" s="50"/>
      <c r="F448" s="15"/>
      <c r="G448" s="15"/>
      <c r="H448" s="51"/>
      <c r="I448" s="23"/>
      <c r="J448" s="15"/>
      <c r="K448" s="15"/>
      <c r="L448" s="52"/>
    </row>
    <row r="449" spans="1:12" ht="13.2">
      <c r="A449" s="36"/>
      <c r="B449" s="36"/>
      <c r="C449" s="27"/>
      <c r="D449" s="36"/>
      <c r="E449" s="47"/>
      <c r="F449" s="36"/>
      <c r="G449" s="36"/>
      <c r="H449" s="48"/>
      <c r="I449" s="28"/>
      <c r="J449" s="36"/>
      <c r="K449" s="36"/>
      <c r="L449" s="49"/>
    </row>
    <row r="450" spans="1:12" ht="13.2">
      <c r="A450" s="15"/>
      <c r="B450" s="15"/>
      <c r="C450" s="22"/>
      <c r="D450" s="15"/>
      <c r="E450" s="50"/>
      <c r="F450" s="15"/>
      <c r="G450" s="15"/>
      <c r="H450" s="51"/>
      <c r="I450" s="23"/>
      <c r="J450" s="15"/>
      <c r="K450" s="15"/>
      <c r="L450" s="52"/>
    </row>
    <row r="451" spans="1:12" ht="13.2">
      <c r="A451" s="36"/>
      <c r="B451" s="36"/>
      <c r="C451" s="27"/>
      <c r="D451" s="36"/>
      <c r="E451" s="47"/>
      <c r="F451" s="36"/>
      <c r="G451" s="36"/>
      <c r="H451" s="48"/>
      <c r="I451" s="28"/>
      <c r="J451" s="36"/>
      <c r="K451" s="36"/>
      <c r="L451" s="49"/>
    </row>
    <row r="452" spans="1:12" ht="13.2">
      <c r="A452" s="15"/>
      <c r="B452" s="15"/>
      <c r="C452" s="22"/>
      <c r="D452" s="15"/>
      <c r="E452" s="50"/>
      <c r="F452" s="15"/>
      <c r="G452" s="15"/>
      <c r="H452" s="51"/>
      <c r="I452" s="23"/>
      <c r="J452" s="15"/>
      <c r="K452" s="15"/>
      <c r="L452" s="52"/>
    </row>
    <row r="453" spans="1:12" ht="13.2">
      <c r="A453" s="36"/>
      <c r="B453" s="36"/>
      <c r="C453" s="27"/>
      <c r="D453" s="36"/>
      <c r="E453" s="47"/>
      <c r="F453" s="36"/>
      <c r="G453" s="36"/>
      <c r="H453" s="48"/>
      <c r="I453" s="28"/>
      <c r="J453" s="36"/>
      <c r="K453" s="36"/>
      <c r="L453" s="49"/>
    </row>
    <row r="454" spans="1:12" ht="13.2">
      <c r="A454" s="15"/>
      <c r="B454" s="15"/>
      <c r="C454" s="22"/>
      <c r="D454" s="15"/>
      <c r="E454" s="50"/>
      <c r="F454" s="15"/>
      <c r="G454" s="15"/>
      <c r="H454" s="51"/>
      <c r="I454" s="23"/>
      <c r="J454" s="15"/>
      <c r="K454" s="15"/>
      <c r="L454" s="52"/>
    </row>
    <row r="455" spans="1:12" ht="13.2">
      <c r="A455" s="36"/>
      <c r="B455" s="36"/>
      <c r="C455" s="27"/>
      <c r="D455" s="36"/>
      <c r="E455" s="47"/>
      <c r="F455" s="36"/>
      <c r="G455" s="36"/>
      <c r="H455" s="48"/>
      <c r="I455" s="28"/>
      <c r="J455" s="36"/>
      <c r="K455" s="36"/>
      <c r="L455" s="49"/>
    </row>
    <row r="456" spans="1:12" ht="13.2">
      <c r="A456" s="15"/>
      <c r="B456" s="15"/>
      <c r="C456" s="22"/>
      <c r="D456" s="15"/>
      <c r="E456" s="50"/>
      <c r="F456" s="15"/>
      <c r="G456" s="15"/>
      <c r="H456" s="51"/>
      <c r="I456" s="23"/>
      <c r="J456" s="15"/>
      <c r="K456" s="15"/>
      <c r="L456" s="52"/>
    </row>
    <row r="457" spans="1:12" ht="13.2">
      <c r="A457" s="36"/>
      <c r="B457" s="36"/>
      <c r="C457" s="27"/>
      <c r="D457" s="36"/>
      <c r="E457" s="47"/>
      <c r="F457" s="36"/>
      <c r="G457" s="36"/>
      <c r="H457" s="48"/>
      <c r="I457" s="28"/>
      <c r="J457" s="36"/>
      <c r="K457" s="36"/>
      <c r="L457" s="49"/>
    </row>
    <row r="458" spans="1:12" ht="13.2">
      <c r="A458" s="15"/>
      <c r="B458" s="15"/>
      <c r="C458" s="22"/>
      <c r="D458" s="15"/>
      <c r="E458" s="50"/>
      <c r="F458" s="15"/>
      <c r="G458" s="15"/>
      <c r="H458" s="51"/>
      <c r="I458" s="23"/>
      <c r="J458" s="15"/>
      <c r="K458" s="15"/>
      <c r="L458" s="52"/>
    </row>
    <row r="459" spans="1:12" ht="13.2">
      <c r="A459" s="36"/>
      <c r="B459" s="36"/>
      <c r="C459" s="27"/>
      <c r="D459" s="36"/>
      <c r="E459" s="47"/>
      <c r="F459" s="36"/>
      <c r="G459" s="36"/>
      <c r="H459" s="48"/>
      <c r="I459" s="28"/>
      <c r="J459" s="36"/>
      <c r="K459" s="36"/>
      <c r="L459" s="49"/>
    </row>
    <row r="460" spans="1:12" ht="13.2">
      <c r="A460" s="15"/>
      <c r="B460" s="15"/>
      <c r="C460" s="22"/>
      <c r="D460" s="15"/>
      <c r="E460" s="50"/>
      <c r="F460" s="15"/>
      <c r="G460" s="15"/>
      <c r="H460" s="51"/>
      <c r="I460" s="23"/>
      <c r="J460" s="15"/>
      <c r="K460" s="15"/>
      <c r="L460" s="52"/>
    </row>
    <row r="461" spans="1:12" ht="13.2">
      <c r="A461" s="36"/>
      <c r="B461" s="36"/>
      <c r="C461" s="27"/>
      <c r="D461" s="36"/>
      <c r="E461" s="47"/>
      <c r="F461" s="36"/>
      <c r="G461" s="36"/>
      <c r="H461" s="48"/>
      <c r="I461" s="28"/>
      <c r="J461" s="36"/>
      <c r="K461" s="36"/>
      <c r="L461" s="49"/>
    </row>
    <row r="462" spans="1:12" ht="13.2">
      <c r="A462" s="15"/>
      <c r="B462" s="15"/>
      <c r="C462" s="22"/>
      <c r="D462" s="15"/>
      <c r="E462" s="50"/>
      <c r="F462" s="15"/>
      <c r="G462" s="15"/>
      <c r="H462" s="51"/>
      <c r="I462" s="23"/>
      <c r="J462" s="15"/>
      <c r="K462" s="15"/>
      <c r="L462" s="52"/>
    </row>
    <row r="463" spans="1:12" ht="13.2">
      <c r="A463" s="36"/>
      <c r="B463" s="36"/>
      <c r="C463" s="27"/>
      <c r="D463" s="36"/>
      <c r="E463" s="47"/>
      <c r="F463" s="36"/>
      <c r="G463" s="36"/>
      <c r="H463" s="48"/>
      <c r="I463" s="28"/>
      <c r="J463" s="36"/>
      <c r="K463" s="36"/>
      <c r="L463" s="49"/>
    </row>
    <row r="464" spans="1:12" ht="13.2">
      <c r="A464" s="15"/>
      <c r="B464" s="15"/>
      <c r="C464" s="22"/>
      <c r="D464" s="15"/>
      <c r="E464" s="50"/>
      <c r="F464" s="15"/>
      <c r="G464" s="15"/>
      <c r="H464" s="51"/>
      <c r="I464" s="23"/>
      <c r="J464" s="15"/>
      <c r="K464" s="15"/>
      <c r="L464" s="52"/>
    </row>
    <row r="465" spans="1:12" ht="13.2">
      <c r="A465" s="36"/>
      <c r="B465" s="36"/>
      <c r="C465" s="27"/>
      <c r="D465" s="36"/>
      <c r="E465" s="47"/>
      <c r="F465" s="36"/>
      <c r="G465" s="36"/>
      <c r="H465" s="48"/>
      <c r="I465" s="28"/>
      <c r="J465" s="36"/>
      <c r="K465" s="36"/>
      <c r="L465" s="49"/>
    </row>
    <row r="466" spans="1:12" ht="13.2">
      <c r="A466" s="15"/>
      <c r="B466" s="15"/>
      <c r="C466" s="22"/>
      <c r="D466" s="15"/>
      <c r="E466" s="50"/>
      <c r="F466" s="15"/>
      <c r="G466" s="15"/>
      <c r="H466" s="51"/>
      <c r="I466" s="23"/>
      <c r="J466" s="15"/>
      <c r="K466" s="15"/>
      <c r="L466" s="52"/>
    </row>
    <row r="467" spans="1:12" ht="13.2">
      <c r="A467" s="36"/>
      <c r="B467" s="36"/>
      <c r="C467" s="27"/>
      <c r="D467" s="36"/>
      <c r="E467" s="47"/>
      <c r="F467" s="36"/>
      <c r="G467" s="36"/>
      <c r="H467" s="48"/>
      <c r="I467" s="28"/>
      <c r="J467" s="36"/>
      <c r="K467" s="36"/>
      <c r="L467" s="49"/>
    </row>
    <row r="468" spans="1:12" ht="13.2">
      <c r="A468" s="15"/>
      <c r="B468" s="15"/>
      <c r="C468" s="22"/>
      <c r="D468" s="15"/>
      <c r="E468" s="50"/>
      <c r="F468" s="15"/>
      <c r="G468" s="15"/>
      <c r="H468" s="51"/>
      <c r="I468" s="23"/>
      <c r="J468" s="15"/>
      <c r="K468" s="15"/>
      <c r="L468" s="52"/>
    </row>
    <row r="469" spans="1:12" ht="13.2">
      <c r="A469" s="36"/>
      <c r="B469" s="36"/>
      <c r="C469" s="27"/>
      <c r="D469" s="36"/>
      <c r="E469" s="47"/>
      <c r="F469" s="36"/>
      <c r="G469" s="36"/>
      <c r="H469" s="48"/>
      <c r="I469" s="28"/>
      <c r="J469" s="36"/>
      <c r="K469" s="36"/>
      <c r="L469" s="49"/>
    </row>
    <row r="470" spans="1:12" ht="13.2">
      <c r="A470" s="15"/>
      <c r="B470" s="15"/>
      <c r="C470" s="22"/>
      <c r="D470" s="15"/>
      <c r="E470" s="50"/>
      <c r="F470" s="15"/>
      <c r="G470" s="15"/>
      <c r="H470" s="51"/>
      <c r="I470" s="23"/>
      <c r="J470" s="15"/>
      <c r="K470" s="15"/>
      <c r="L470" s="52"/>
    </row>
    <row r="471" spans="1:12" ht="13.2">
      <c r="A471" s="36"/>
      <c r="B471" s="36"/>
      <c r="C471" s="27"/>
      <c r="D471" s="36"/>
      <c r="E471" s="47"/>
      <c r="F471" s="36"/>
      <c r="G471" s="36"/>
      <c r="H471" s="48"/>
      <c r="I471" s="28"/>
      <c r="J471" s="36"/>
      <c r="K471" s="36"/>
      <c r="L471" s="49"/>
    </row>
    <row r="472" spans="1:12" ht="13.2">
      <c r="A472" s="15"/>
      <c r="B472" s="15"/>
      <c r="C472" s="22"/>
      <c r="D472" s="15"/>
      <c r="E472" s="50"/>
      <c r="F472" s="15"/>
      <c r="G472" s="15"/>
      <c r="H472" s="51"/>
      <c r="I472" s="23"/>
      <c r="J472" s="15"/>
      <c r="K472" s="15"/>
      <c r="L472" s="52"/>
    </row>
    <row r="473" spans="1:12" ht="13.2">
      <c r="A473" s="36"/>
      <c r="B473" s="36"/>
      <c r="C473" s="27"/>
      <c r="D473" s="36"/>
      <c r="E473" s="47"/>
      <c r="F473" s="36"/>
      <c r="G473" s="36"/>
      <c r="H473" s="48"/>
      <c r="I473" s="28"/>
      <c r="J473" s="36"/>
      <c r="K473" s="36"/>
      <c r="L473" s="49"/>
    </row>
    <row r="474" spans="1:12" ht="13.2">
      <c r="A474" s="15"/>
      <c r="B474" s="15"/>
      <c r="C474" s="22"/>
      <c r="D474" s="15"/>
      <c r="E474" s="50"/>
      <c r="F474" s="15"/>
      <c r="G474" s="15"/>
      <c r="H474" s="51"/>
      <c r="I474" s="23"/>
      <c r="J474" s="15"/>
      <c r="K474" s="15"/>
      <c r="L474" s="52"/>
    </row>
    <row r="475" spans="1:12" ht="13.2">
      <c r="A475" s="36"/>
      <c r="B475" s="36"/>
      <c r="C475" s="27"/>
      <c r="D475" s="36"/>
      <c r="E475" s="47"/>
      <c r="F475" s="36"/>
      <c r="G475" s="36"/>
      <c r="H475" s="48"/>
      <c r="I475" s="28"/>
      <c r="J475" s="36"/>
      <c r="K475" s="36"/>
      <c r="L475" s="49"/>
    </row>
    <row r="476" spans="1:12" ht="13.2">
      <c r="A476" s="15"/>
      <c r="B476" s="15"/>
      <c r="C476" s="22"/>
      <c r="D476" s="15"/>
      <c r="E476" s="50"/>
      <c r="F476" s="15"/>
      <c r="G476" s="15"/>
      <c r="H476" s="51"/>
      <c r="I476" s="23"/>
      <c r="J476" s="15"/>
      <c r="K476" s="15"/>
      <c r="L476" s="52"/>
    </row>
    <row r="477" spans="1:12" ht="13.2">
      <c r="A477" s="36"/>
      <c r="B477" s="36"/>
      <c r="C477" s="27"/>
      <c r="D477" s="36"/>
      <c r="E477" s="47"/>
      <c r="F477" s="36"/>
      <c r="G477" s="36"/>
      <c r="H477" s="48"/>
      <c r="I477" s="28"/>
      <c r="J477" s="36"/>
      <c r="K477" s="36"/>
      <c r="L477" s="49"/>
    </row>
    <row r="478" spans="1:12" ht="13.2">
      <c r="A478" s="15"/>
      <c r="B478" s="15"/>
      <c r="C478" s="22"/>
      <c r="D478" s="15"/>
      <c r="E478" s="50"/>
      <c r="F478" s="15"/>
      <c r="G478" s="15"/>
      <c r="H478" s="51"/>
      <c r="I478" s="23"/>
      <c r="J478" s="15"/>
      <c r="K478" s="15"/>
      <c r="L478" s="52"/>
    </row>
    <row r="479" spans="1:12" ht="13.2">
      <c r="A479" s="36"/>
      <c r="B479" s="36"/>
      <c r="C479" s="27"/>
      <c r="D479" s="36"/>
      <c r="E479" s="47"/>
      <c r="F479" s="36"/>
      <c r="G479" s="36"/>
      <c r="H479" s="48"/>
      <c r="I479" s="28"/>
      <c r="J479" s="36"/>
      <c r="K479" s="36"/>
      <c r="L479" s="49"/>
    </row>
    <row r="480" spans="1:12" ht="13.2">
      <c r="A480" s="15"/>
      <c r="B480" s="15"/>
      <c r="C480" s="22"/>
      <c r="D480" s="15"/>
      <c r="E480" s="50"/>
      <c r="F480" s="15"/>
      <c r="G480" s="15"/>
      <c r="H480" s="51"/>
      <c r="I480" s="23"/>
      <c r="J480" s="15"/>
      <c r="K480" s="15"/>
      <c r="L480" s="52"/>
    </row>
    <row r="481" spans="1:12" ht="13.2">
      <c r="A481" s="36"/>
      <c r="B481" s="36"/>
      <c r="C481" s="27"/>
      <c r="D481" s="36"/>
      <c r="E481" s="47"/>
      <c r="F481" s="36"/>
      <c r="G481" s="36"/>
      <c r="H481" s="48"/>
      <c r="I481" s="28"/>
      <c r="J481" s="36"/>
      <c r="K481" s="36"/>
      <c r="L481" s="49"/>
    </row>
    <row r="482" spans="1:12" ht="13.2">
      <c r="A482" s="15"/>
      <c r="B482" s="15"/>
      <c r="C482" s="22"/>
      <c r="D482" s="15"/>
      <c r="E482" s="50"/>
      <c r="F482" s="15"/>
      <c r="G482" s="15"/>
      <c r="H482" s="51"/>
      <c r="I482" s="23"/>
      <c r="J482" s="15"/>
      <c r="K482" s="15"/>
      <c r="L482" s="52"/>
    </row>
    <row r="483" spans="1:12" ht="13.2">
      <c r="A483" s="36"/>
      <c r="B483" s="36"/>
      <c r="C483" s="27"/>
      <c r="D483" s="36"/>
      <c r="E483" s="47"/>
      <c r="F483" s="36"/>
      <c r="G483" s="36"/>
      <c r="H483" s="48"/>
      <c r="I483" s="28"/>
      <c r="J483" s="36"/>
      <c r="K483" s="36"/>
      <c r="L483" s="49"/>
    </row>
    <row r="484" spans="1:12" ht="13.2">
      <c r="A484" s="15"/>
      <c r="B484" s="15"/>
      <c r="C484" s="22"/>
      <c r="D484" s="15"/>
      <c r="E484" s="50"/>
      <c r="F484" s="15"/>
      <c r="G484" s="15"/>
      <c r="H484" s="51"/>
      <c r="I484" s="23"/>
      <c r="J484" s="15"/>
      <c r="K484" s="15"/>
      <c r="L484" s="52"/>
    </row>
    <row r="485" spans="1:12" ht="13.2">
      <c r="A485" s="36"/>
      <c r="B485" s="36"/>
      <c r="C485" s="27"/>
      <c r="D485" s="36"/>
      <c r="E485" s="47"/>
      <c r="F485" s="36"/>
      <c r="G485" s="36"/>
      <c r="H485" s="48"/>
      <c r="I485" s="28"/>
      <c r="J485" s="36"/>
      <c r="K485" s="36"/>
      <c r="L485" s="49"/>
    </row>
    <row r="486" spans="1:12" ht="13.2">
      <c r="A486" s="15"/>
      <c r="B486" s="15"/>
      <c r="C486" s="22"/>
      <c r="D486" s="15"/>
      <c r="E486" s="50"/>
      <c r="F486" s="15"/>
      <c r="G486" s="15"/>
      <c r="H486" s="51"/>
      <c r="I486" s="23"/>
      <c r="J486" s="15"/>
      <c r="K486" s="15"/>
      <c r="L486" s="52"/>
    </row>
    <row r="487" spans="1:12" ht="13.2">
      <c r="A487" s="36"/>
      <c r="B487" s="36"/>
      <c r="C487" s="27"/>
      <c r="D487" s="36"/>
      <c r="E487" s="47"/>
      <c r="F487" s="36"/>
      <c r="G487" s="36"/>
      <c r="H487" s="48"/>
      <c r="I487" s="28"/>
      <c r="J487" s="36"/>
      <c r="K487" s="36"/>
      <c r="L487" s="49"/>
    </row>
    <row r="488" spans="1:12" ht="13.2">
      <c r="A488" s="15"/>
      <c r="B488" s="15"/>
      <c r="C488" s="22"/>
      <c r="D488" s="15"/>
      <c r="E488" s="50"/>
      <c r="F488" s="15"/>
      <c r="G488" s="15"/>
      <c r="H488" s="51"/>
      <c r="I488" s="23"/>
      <c r="J488" s="15"/>
      <c r="K488" s="15"/>
      <c r="L488" s="52"/>
    </row>
    <row r="489" spans="1:12" ht="13.2">
      <c r="A489" s="36"/>
      <c r="B489" s="36"/>
      <c r="C489" s="27"/>
      <c r="D489" s="36"/>
      <c r="E489" s="47"/>
      <c r="F489" s="36"/>
      <c r="G489" s="36"/>
      <c r="H489" s="48"/>
      <c r="I489" s="28"/>
      <c r="J489" s="36"/>
      <c r="K489" s="36"/>
      <c r="L489" s="49"/>
    </row>
    <row r="490" spans="1:12" ht="13.2">
      <c r="A490" s="15"/>
      <c r="B490" s="15"/>
      <c r="C490" s="22"/>
      <c r="D490" s="15"/>
      <c r="E490" s="50"/>
      <c r="F490" s="15"/>
      <c r="G490" s="15"/>
      <c r="H490" s="51"/>
      <c r="I490" s="23"/>
      <c r="J490" s="15"/>
      <c r="K490" s="15"/>
      <c r="L490" s="52"/>
    </row>
    <row r="491" spans="1:12" ht="13.2">
      <c r="A491" s="36"/>
      <c r="B491" s="36"/>
      <c r="C491" s="27"/>
      <c r="D491" s="36"/>
      <c r="E491" s="47"/>
      <c r="F491" s="36"/>
      <c r="G491" s="36"/>
      <c r="H491" s="48"/>
      <c r="I491" s="28"/>
      <c r="J491" s="36"/>
      <c r="K491" s="36"/>
      <c r="L491" s="49"/>
    </row>
    <row r="492" spans="1:12" ht="13.2">
      <c r="A492" s="15"/>
      <c r="B492" s="15"/>
      <c r="C492" s="22"/>
      <c r="D492" s="15"/>
      <c r="E492" s="50"/>
      <c r="F492" s="15"/>
      <c r="G492" s="15"/>
      <c r="H492" s="51"/>
      <c r="I492" s="23"/>
      <c r="J492" s="15"/>
      <c r="K492" s="15"/>
      <c r="L492" s="52"/>
    </row>
    <row r="493" spans="1:12" ht="13.2">
      <c r="A493" s="36"/>
      <c r="B493" s="36"/>
      <c r="C493" s="27"/>
      <c r="D493" s="36"/>
      <c r="E493" s="47"/>
      <c r="F493" s="36"/>
      <c r="G493" s="36"/>
      <c r="H493" s="48"/>
      <c r="I493" s="28"/>
      <c r="J493" s="36"/>
      <c r="K493" s="36"/>
      <c r="L493" s="49"/>
    </row>
    <row r="494" spans="1:12" ht="13.2">
      <c r="A494" s="15"/>
      <c r="B494" s="15"/>
      <c r="C494" s="22"/>
      <c r="D494" s="15"/>
      <c r="E494" s="50"/>
      <c r="F494" s="15"/>
      <c r="G494" s="15"/>
      <c r="H494" s="51"/>
      <c r="I494" s="23"/>
      <c r="J494" s="15"/>
      <c r="K494" s="15"/>
      <c r="L494" s="52"/>
    </row>
    <row r="495" spans="1:12" ht="13.2">
      <c r="A495" s="36"/>
      <c r="B495" s="36"/>
      <c r="C495" s="27"/>
      <c r="D495" s="36"/>
      <c r="E495" s="47"/>
      <c r="F495" s="36"/>
      <c r="G495" s="36"/>
      <c r="H495" s="48"/>
      <c r="I495" s="28"/>
      <c r="J495" s="36"/>
      <c r="K495" s="36"/>
      <c r="L495" s="49"/>
    </row>
    <row r="496" spans="1:12" ht="13.2">
      <c r="A496" s="15"/>
      <c r="B496" s="15"/>
      <c r="C496" s="22"/>
      <c r="D496" s="15"/>
      <c r="E496" s="50"/>
      <c r="F496" s="15"/>
      <c r="G496" s="15"/>
      <c r="H496" s="51"/>
      <c r="I496" s="23"/>
      <c r="J496" s="15"/>
      <c r="K496" s="15"/>
      <c r="L496" s="52"/>
    </row>
    <row r="497" spans="1:12" ht="13.2">
      <c r="A497" s="36"/>
      <c r="B497" s="36"/>
      <c r="C497" s="27"/>
      <c r="D497" s="36"/>
      <c r="E497" s="47"/>
      <c r="F497" s="36"/>
      <c r="G497" s="36"/>
      <c r="H497" s="48"/>
      <c r="I497" s="28"/>
      <c r="J497" s="36"/>
      <c r="K497" s="36"/>
      <c r="L497" s="49"/>
    </row>
    <row r="498" spans="1:12" ht="13.2">
      <c r="A498" s="15"/>
      <c r="B498" s="15"/>
      <c r="C498" s="22"/>
      <c r="D498" s="15"/>
      <c r="E498" s="50"/>
      <c r="F498" s="15"/>
      <c r="G498" s="15"/>
      <c r="H498" s="51"/>
      <c r="I498" s="23"/>
      <c r="J498" s="15"/>
      <c r="K498" s="15"/>
      <c r="L498" s="52"/>
    </row>
    <row r="499" spans="1:12" ht="13.2">
      <c r="A499" s="36"/>
      <c r="B499" s="36"/>
      <c r="C499" s="27"/>
      <c r="D499" s="36"/>
      <c r="E499" s="47"/>
      <c r="F499" s="36"/>
      <c r="G499" s="36"/>
      <c r="H499" s="48"/>
      <c r="I499" s="28"/>
      <c r="J499" s="36"/>
      <c r="K499" s="36"/>
      <c r="L499" s="49"/>
    </row>
    <row r="500" spans="1:12" ht="13.2">
      <c r="A500" s="15"/>
      <c r="B500" s="15"/>
      <c r="C500" s="22"/>
      <c r="D500" s="15"/>
      <c r="E500" s="50"/>
      <c r="F500" s="15"/>
      <c r="G500" s="15"/>
      <c r="H500" s="51"/>
      <c r="I500" s="23"/>
      <c r="J500" s="15"/>
      <c r="K500" s="15"/>
      <c r="L500" s="52"/>
    </row>
    <row r="501" spans="1:12" ht="13.2">
      <c r="A501" s="36"/>
      <c r="B501" s="36"/>
      <c r="C501" s="27"/>
      <c r="D501" s="36"/>
      <c r="E501" s="47"/>
      <c r="F501" s="36"/>
      <c r="G501" s="36"/>
      <c r="H501" s="48"/>
      <c r="I501" s="28"/>
      <c r="J501" s="36"/>
      <c r="K501" s="36"/>
      <c r="L501" s="49"/>
    </row>
    <row r="502" spans="1:12" ht="13.2">
      <c r="A502" s="15"/>
      <c r="B502" s="15"/>
      <c r="C502" s="22"/>
      <c r="D502" s="15"/>
      <c r="E502" s="50"/>
      <c r="F502" s="15"/>
      <c r="G502" s="15"/>
      <c r="H502" s="51"/>
      <c r="I502" s="23"/>
      <c r="J502" s="15"/>
      <c r="K502" s="15"/>
      <c r="L502" s="52"/>
    </row>
    <row r="503" spans="1:12" ht="13.2">
      <c r="A503" s="36"/>
      <c r="B503" s="36"/>
      <c r="C503" s="27"/>
      <c r="D503" s="36"/>
      <c r="E503" s="47"/>
      <c r="F503" s="36"/>
      <c r="G503" s="36"/>
      <c r="H503" s="48"/>
      <c r="I503" s="28"/>
      <c r="J503" s="36"/>
      <c r="K503" s="36"/>
      <c r="L503" s="49"/>
    </row>
    <row r="504" spans="1:12" ht="13.2">
      <c r="A504" s="15"/>
      <c r="B504" s="15"/>
      <c r="C504" s="22"/>
      <c r="D504" s="15"/>
      <c r="E504" s="50"/>
      <c r="F504" s="15"/>
      <c r="G504" s="15"/>
      <c r="H504" s="51"/>
      <c r="I504" s="23"/>
      <c r="J504" s="15"/>
      <c r="K504" s="15"/>
      <c r="L504" s="52"/>
    </row>
    <row r="505" spans="1:12" ht="13.2">
      <c r="A505" s="36"/>
      <c r="B505" s="36"/>
      <c r="C505" s="27"/>
      <c r="D505" s="36"/>
      <c r="E505" s="47"/>
      <c r="F505" s="36"/>
      <c r="G505" s="36"/>
      <c r="H505" s="48"/>
      <c r="I505" s="28"/>
      <c r="J505" s="36"/>
      <c r="K505" s="36"/>
      <c r="L505" s="49"/>
    </row>
    <row r="506" spans="1:12" ht="13.2">
      <c r="A506" s="15"/>
      <c r="B506" s="15"/>
      <c r="C506" s="22"/>
      <c r="D506" s="15"/>
      <c r="E506" s="50"/>
      <c r="F506" s="15"/>
      <c r="G506" s="15"/>
      <c r="H506" s="51"/>
      <c r="I506" s="23"/>
      <c r="J506" s="15"/>
      <c r="K506" s="15"/>
      <c r="L506" s="52"/>
    </row>
    <row r="507" spans="1:12" ht="13.2">
      <c r="A507" s="36"/>
      <c r="B507" s="36"/>
      <c r="C507" s="27"/>
      <c r="D507" s="36"/>
      <c r="E507" s="47"/>
      <c r="F507" s="36"/>
      <c r="G507" s="36"/>
      <c r="H507" s="48"/>
      <c r="I507" s="28"/>
      <c r="J507" s="36"/>
      <c r="K507" s="36"/>
      <c r="L507" s="49"/>
    </row>
    <row r="508" spans="1:12" ht="13.2">
      <c r="A508" s="15"/>
      <c r="B508" s="15"/>
      <c r="C508" s="22"/>
      <c r="D508" s="15"/>
      <c r="E508" s="50"/>
      <c r="F508" s="15"/>
      <c r="G508" s="15"/>
      <c r="H508" s="51"/>
      <c r="I508" s="23"/>
      <c r="J508" s="15"/>
      <c r="K508" s="15"/>
      <c r="L508" s="52"/>
    </row>
    <row r="509" spans="1:12" ht="13.2">
      <c r="A509" s="36"/>
      <c r="B509" s="36"/>
      <c r="C509" s="27"/>
      <c r="D509" s="36"/>
      <c r="E509" s="47"/>
      <c r="F509" s="36"/>
      <c r="G509" s="36"/>
      <c r="H509" s="48"/>
      <c r="I509" s="28"/>
      <c r="J509" s="36"/>
      <c r="K509" s="36"/>
      <c r="L509" s="49"/>
    </row>
    <row r="510" spans="1:12" ht="13.2">
      <c r="A510" s="15"/>
      <c r="B510" s="15"/>
      <c r="C510" s="22"/>
      <c r="D510" s="15"/>
      <c r="E510" s="50"/>
      <c r="F510" s="15"/>
      <c r="G510" s="15"/>
      <c r="H510" s="51"/>
      <c r="I510" s="23"/>
      <c r="J510" s="15"/>
      <c r="K510" s="15"/>
      <c r="L510" s="52"/>
    </row>
    <row r="511" spans="1:12" ht="13.2">
      <c r="A511" s="36"/>
      <c r="B511" s="36"/>
      <c r="C511" s="27"/>
      <c r="D511" s="36"/>
      <c r="E511" s="47"/>
      <c r="F511" s="36"/>
      <c r="G511" s="36"/>
      <c r="H511" s="48"/>
      <c r="I511" s="28"/>
      <c r="J511" s="36"/>
      <c r="K511" s="36"/>
      <c r="L511" s="49"/>
    </row>
    <row r="512" spans="1:12" ht="13.2">
      <c r="A512" s="15"/>
      <c r="B512" s="15"/>
      <c r="C512" s="22"/>
      <c r="D512" s="15"/>
      <c r="E512" s="50"/>
      <c r="F512" s="15"/>
      <c r="G512" s="15"/>
      <c r="H512" s="51"/>
      <c r="I512" s="23"/>
      <c r="J512" s="15"/>
      <c r="K512" s="15"/>
      <c r="L512" s="52"/>
    </row>
    <row r="513" spans="1:12" ht="13.2">
      <c r="A513" s="36"/>
      <c r="B513" s="36"/>
      <c r="C513" s="27"/>
      <c r="D513" s="36"/>
      <c r="E513" s="47"/>
      <c r="F513" s="36"/>
      <c r="G513" s="36"/>
      <c r="H513" s="48"/>
      <c r="I513" s="28"/>
      <c r="J513" s="36"/>
      <c r="K513" s="36"/>
      <c r="L513" s="49"/>
    </row>
    <row r="514" spans="1:12" ht="13.2">
      <c r="A514" s="15"/>
      <c r="B514" s="15"/>
      <c r="C514" s="22"/>
      <c r="D514" s="15"/>
      <c r="E514" s="50"/>
      <c r="F514" s="15"/>
      <c r="G514" s="15"/>
      <c r="H514" s="51"/>
      <c r="I514" s="23"/>
      <c r="J514" s="15"/>
      <c r="K514" s="15"/>
      <c r="L514" s="52"/>
    </row>
    <row r="515" spans="1:12" ht="13.2">
      <c r="A515" s="36"/>
      <c r="B515" s="36"/>
      <c r="C515" s="27"/>
      <c r="D515" s="36"/>
      <c r="E515" s="47"/>
      <c r="F515" s="36"/>
      <c r="G515" s="36"/>
      <c r="H515" s="48"/>
      <c r="I515" s="28"/>
      <c r="J515" s="36"/>
      <c r="K515" s="36"/>
      <c r="L515" s="49"/>
    </row>
    <row r="516" spans="1:12" ht="13.2">
      <c r="A516" s="15"/>
      <c r="B516" s="15"/>
      <c r="C516" s="22"/>
      <c r="D516" s="15"/>
      <c r="E516" s="50"/>
      <c r="F516" s="15"/>
      <c r="G516" s="15"/>
      <c r="H516" s="51"/>
      <c r="I516" s="23"/>
      <c r="J516" s="15"/>
      <c r="K516" s="15"/>
      <c r="L516" s="52"/>
    </row>
    <row r="517" spans="1:12" ht="13.2">
      <c r="A517" s="36"/>
      <c r="B517" s="36"/>
      <c r="C517" s="27"/>
      <c r="D517" s="36"/>
      <c r="E517" s="47"/>
      <c r="F517" s="36"/>
      <c r="G517" s="36"/>
      <c r="H517" s="48"/>
      <c r="I517" s="28"/>
      <c r="J517" s="36"/>
      <c r="K517" s="36"/>
      <c r="L517" s="49"/>
    </row>
    <row r="518" spans="1:12" ht="13.2">
      <c r="A518" s="15"/>
      <c r="B518" s="15"/>
      <c r="C518" s="22"/>
      <c r="D518" s="15"/>
      <c r="E518" s="50"/>
      <c r="F518" s="15"/>
      <c r="G518" s="15"/>
      <c r="H518" s="51"/>
      <c r="I518" s="23"/>
      <c r="J518" s="15"/>
      <c r="K518" s="15"/>
      <c r="L518" s="52"/>
    </row>
    <row r="519" spans="1:12" ht="13.2">
      <c r="A519" s="36"/>
      <c r="B519" s="36"/>
      <c r="C519" s="27"/>
      <c r="D519" s="36"/>
      <c r="E519" s="47"/>
      <c r="F519" s="36"/>
      <c r="G519" s="36"/>
      <c r="H519" s="48"/>
      <c r="I519" s="28"/>
      <c r="J519" s="36"/>
      <c r="K519" s="36"/>
      <c r="L519" s="49"/>
    </row>
    <row r="520" spans="1:12" ht="13.2">
      <c r="A520" s="15"/>
      <c r="B520" s="15"/>
      <c r="C520" s="22"/>
      <c r="D520" s="15"/>
      <c r="E520" s="50"/>
      <c r="F520" s="15"/>
      <c r="G520" s="15"/>
      <c r="H520" s="51"/>
      <c r="I520" s="23"/>
      <c r="J520" s="15"/>
      <c r="K520" s="15"/>
      <c r="L520" s="52"/>
    </row>
    <row r="521" spans="1:12" ht="13.2">
      <c r="A521" s="36"/>
      <c r="B521" s="36"/>
      <c r="C521" s="27"/>
      <c r="D521" s="36"/>
      <c r="E521" s="47"/>
      <c r="F521" s="36"/>
      <c r="G521" s="36"/>
      <c r="H521" s="48"/>
      <c r="I521" s="28"/>
      <c r="J521" s="36"/>
      <c r="K521" s="36"/>
      <c r="L521" s="49"/>
    </row>
    <row r="522" spans="1:12" ht="13.2">
      <c r="A522" s="15"/>
      <c r="B522" s="15"/>
      <c r="C522" s="22"/>
      <c r="D522" s="15"/>
      <c r="E522" s="50"/>
      <c r="F522" s="15"/>
      <c r="G522" s="15"/>
      <c r="H522" s="51"/>
      <c r="I522" s="23"/>
      <c r="J522" s="15"/>
      <c r="K522" s="15"/>
      <c r="L522" s="52"/>
    </row>
    <row r="523" spans="1:12" ht="13.2">
      <c r="A523" s="36"/>
      <c r="B523" s="36"/>
      <c r="C523" s="27"/>
      <c r="D523" s="36"/>
      <c r="E523" s="47"/>
      <c r="F523" s="36"/>
      <c r="G523" s="36"/>
      <c r="H523" s="48"/>
      <c r="I523" s="28"/>
      <c r="J523" s="36"/>
      <c r="K523" s="36"/>
      <c r="L523" s="49"/>
    </row>
    <row r="524" spans="1:12" ht="13.2">
      <c r="A524" s="15"/>
      <c r="B524" s="15"/>
      <c r="C524" s="22"/>
      <c r="D524" s="15"/>
      <c r="E524" s="50"/>
      <c r="F524" s="15"/>
      <c r="G524" s="15"/>
      <c r="H524" s="51"/>
      <c r="I524" s="23"/>
      <c r="J524" s="15"/>
      <c r="K524" s="15"/>
      <c r="L524" s="52"/>
    </row>
    <row r="525" spans="1:12" ht="13.2">
      <c r="A525" s="36"/>
      <c r="B525" s="36"/>
      <c r="C525" s="27"/>
      <c r="D525" s="36"/>
      <c r="E525" s="47"/>
      <c r="F525" s="36"/>
      <c r="G525" s="36"/>
      <c r="H525" s="48"/>
      <c r="I525" s="28"/>
      <c r="J525" s="36"/>
      <c r="K525" s="36"/>
      <c r="L525" s="49"/>
    </row>
    <row r="526" spans="1:12" ht="13.2">
      <c r="A526" s="15"/>
      <c r="B526" s="15"/>
      <c r="C526" s="22"/>
      <c r="D526" s="15"/>
      <c r="E526" s="50"/>
      <c r="F526" s="15"/>
      <c r="G526" s="15"/>
      <c r="H526" s="51"/>
      <c r="I526" s="23"/>
      <c r="J526" s="15"/>
      <c r="K526" s="15"/>
      <c r="L526" s="52"/>
    </row>
    <row r="527" spans="1:12" ht="13.2">
      <c r="A527" s="36"/>
      <c r="B527" s="36"/>
      <c r="C527" s="27"/>
      <c r="D527" s="36"/>
      <c r="E527" s="47"/>
      <c r="F527" s="36"/>
      <c r="G527" s="36"/>
      <c r="H527" s="48"/>
      <c r="I527" s="28"/>
      <c r="J527" s="36"/>
      <c r="K527" s="36"/>
      <c r="L527" s="49"/>
    </row>
    <row r="528" spans="1:12" ht="13.2">
      <c r="A528" s="15"/>
      <c r="B528" s="15"/>
      <c r="C528" s="22"/>
      <c r="D528" s="15"/>
      <c r="E528" s="50"/>
      <c r="F528" s="15"/>
      <c r="G528" s="15"/>
      <c r="H528" s="51"/>
      <c r="I528" s="23"/>
      <c r="J528" s="15"/>
      <c r="K528" s="15"/>
      <c r="L528" s="52"/>
    </row>
    <row r="529" spans="1:12" ht="13.2">
      <c r="A529" s="36"/>
      <c r="B529" s="36"/>
      <c r="C529" s="27"/>
      <c r="D529" s="36"/>
      <c r="E529" s="47"/>
      <c r="F529" s="36"/>
      <c r="G529" s="36"/>
      <c r="H529" s="48"/>
      <c r="I529" s="28"/>
      <c r="J529" s="36"/>
      <c r="K529" s="36"/>
      <c r="L529" s="49"/>
    </row>
    <row r="530" spans="1:12" ht="13.2">
      <c r="A530" s="15"/>
      <c r="B530" s="15"/>
      <c r="C530" s="22"/>
      <c r="D530" s="15"/>
      <c r="E530" s="50"/>
      <c r="F530" s="15"/>
      <c r="G530" s="15"/>
      <c r="H530" s="51"/>
      <c r="I530" s="23"/>
      <c r="J530" s="15"/>
      <c r="K530" s="15"/>
      <c r="L530" s="52"/>
    </row>
    <row r="531" spans="1:12" ht="13.2">
      <c r="A531" s="36"/>
      <c r="B531" s="36"/>
      <c r="C531" s="27"/>
      <c r="D531" s="36"/>
      <c r="E531" s="47"/>
      <c r="F531" s="36"/>
      <c r="G531" s="36"/>
      <c r="H531" s="48"/>
      <c r="I531" s="28"/>
      <c r="J531" s="36"/>
      <c r="K531" s="36"/>
      <c r="L531" s="49"/>
    </row>
    <row r="532" spans="1:12" ht="13.2">
      <c r="A532" s="15"/>
      <c r="B532" s="15"/>
      <c r="C532" s="22"/>
      <c r="D532" s="15"/>
      <c r="E532" s="50"/>
      <c r="F532" s="15"/>
      <c r="G532" s="15"/>
      <c r="H532" s="51"/>
      <c r="I532" s="23"/>
      <c r="J532" s="15"/>
      <c r="K532" s="15"/>
      <c r="L532" s="52"/>
    </row>
    <row r="533" spans="1:12" ht="13.2">
      <c r="A533" s="36"/>
      <c r="B533" s="36"/>
      <c r="C533" s="27"/>
      <c r="D533" s="36"/>
      <c r="E533" s="47"/>
      <c r="F533" s="36"/>
      <c r="G533" s="36"/>
      <c r="H533" s="48"/>
      <c r="I533" s="28"/>
      <c r="J533" s="36"/>
      <c r="K533" s="36"/>
      <c r="L533" s="49"/>
    </row>
    <row r="534" spans="1:12" ht="13.2">
      <c r="A534" s="15"/>
      <c r="B534" s="15"/>
      <c r="C534" s="22"/>
      <c r="D534" s="15"/>
      <c r="E534" s="50"/>
      <c r="F534" s="15"/>
      <c r="G534" s="15"/>
      <c r="H534" s="51"/>
      <c r="I534" s="23"/>
      <c r="J534" s="15"/>
      <c r="K534" s="15"/>
      <c r="L534" s="52"/>
    </row>
    <row r="535" spans="1:12" ht="13.2">
      <c r="A535" s="36"/>
      <c r="B535" s="36"/>
      <c r="C535" s="27"/>
      <c r="D535" s="36"/>
      <c r="E535" s="47"/>
      <c r="F535" s="36"/>
      <c r="G535" s="36"/>
      <c r="H535" s="48"/>
      <c r="I535" s="28"/>
      <c r="J535" s="36"/>
      <c r="K535" s="36"/>
      <c r="L535" s="49"/>
    </row>
    <row r="536" spans="1:12" ht="13.2">
      <c r="A536" s="15"/>
      <c r="B536" s="15"/>
      <c r="C536" s="22"/>
      <c r="D536" s="15"/>
      <c r="E536" s="50"/>
      <c r="F536" s="15"/>
      <c r="G536" s="15"/>
      <c r="H536" s="51"/>
      <c r="I536" s="23"/>
      <c r="J536" s="15"/>
      <c r="K536" s="15"/>
      <c r="L536" s="52"/>
    </row>
    <row r="537" spans="1:12" ht="13.2">
      <c r="A537" s="36"/>
      <c r="B537" s="36"/>
      <c r="C537" s="27"/>
      <c r="D537" s="36"/>
      <c r="E537" s="47"/>
      <c r="F537" s="36"/>
      <c r="G537" s="36"/>
      <c r="H537" s="48"/>
      <c r="I537" s="28"/>
      <c r="J537" s="36"/>
      <c r="K537" s="36"/>
      <c r="L537" s="49"/>
    </row>
    <row r="538" spans="1:12" ht="13.2">
      <c r="A538" s="15"/>
      <c r="B538" s="15"/>
      <c r="C538" s="22"/>
      <c r="D538" s="15"/>
      <c r="E538" s="50"/>
      <c r="F538" s="15"/>
      <c r="G538" s="15"/>
      <c r="H538" s="51"/>
      <c r="I538" s="23"/>
      <c r="J538" s="15"/>
      <c r="K538" s="15"/>
      <c r="L538" s="52"/>
    </row>
    <row r="539" spans="1:12" ht="13.2">
      <c r="A539" s="36"/>
      <c r="B539" s="36"/>
      <c r="C539" s="27"/>
      <c r="D539" s="36"/>
      <c r="E539" s="47"/>
      <c r="F539" s="36"/>
      <c r="G539" s="36"/>
      <c r="H539" s="48"/>
      <c r="I539" s="28"/>
      <c r="J539" s="36"/>
      <c r="K539" s="36"/>
      <c r="L539" s="49"/>
    </row>
    <row r="540" spans="1:12" ht="13.2">
      <c r="A540" s="15"/>
      <c r="B540" s="15"/>
      <c r="C540" s="22"/>
      <c r="D540" s="15"/>
      <c r="E540" s="50"/>
      <c r="F540" s="15"/>
      <c r="G540" s="15"/>
      <c r="H540" s="51"/>
      <c r="I540" s="23"/>
      <c r="J540" s="15"/>
      <c r="K540" s="15"/>
      <c r="L540" s="52"/>
    </row>
    <row r="541" spans="1:12" ht="13.2">
      <c r="A541" s="36"/>
      <c r="B541" s="36"/>
      <c r="C541" s="27"/>
      <c r="D541" s="36"/>
      <c r="E541" s="47"/>
      <c r="F541" s="36"/>
      <c r="G541" s="36"/>
      <c r="H541" s="48"/>
      <c r="I541" s="28"/>
      <c r="J541" s="36"/>
      <c r="K541" s="36"/>
      <c r="L541" s="49"/>
    </row>
    <row r="542" spans="1:12" ht="13.2">
      <c r="A542" s="15"/>
      <c r="B542" s="15"/>
      <c r="C542" s="22"/>
      <c r="D542" s="15"/>
      <c r="E542" s="50"/>
      <c r="F542" s="15"/>
      <c r="G542" s="15"/>
      <c r="H542" s="51"/>
      <c r="I542" s="23"/>
      <c r="J542" s="15"/>
      <c r="K542" s="15"/>
      <c r="L542" s="52"/>
    </row>
    <row r="543" spans="1:12" ht="13.2">
      <c r="A543" s="36"/>
      <c r="B543" s="36"/>
      <c r="C543" s="27"/>
      <c r="D543" s="36"/>
      <c r="E543" s="47"/>
      <c r="F543" s="36"/>
      <c r="G543" s="36"/>
      <c r="H543" s="48"/>
      <c r="I543" s="28"/>
      <c r="J543" s="36"/>
      <c r="K543" s="36"/>
      <c r="L543" s="49"/>
    </row>
    <row r="544" spans="1:12" ht="13.2">
      <c r="A544" s="15"/>
      <c r="B544" s="15"/>
      <c r="C544" s="22"/>
      <c r="D544" s="15"/>
      <c r="E544" s="50"/>
      <c r="F544" s="15"/>
      <c r="G544" s="15"/>
      <c r="H544" s="51"/>
      <c r="I544" s="23"/>
      <c r="J544" s="15"/>
      <c r="K544" s="15"/>
      <c r="L544" s="52"/>
    </row>
    <row r="545" spans="1:12" ht="13.2">
      <c r="A545" s="36"/>
      <c r="B545" s="36"/>
      <c r="C545" s="27"/>
      <c r="D545" s="36"/>
      <c r="E545" s="47"/>
      <c r="F545" s="36"/>
      <c r="G545" s="36"/>
      <c r="H545" s="48"/>
      <c r="I545" s="28"/>
      <c r="J545" s="36"/>
      <c r="K545" s="36"/>
      <c r="L545" s="49"/>
    </row>
    <row r="546" spans="1:12" ht="13.2">
      <c r="A546" s="15"/>
      <c r="B546" s="15"/>
      <c r="C546" s="22"/>
      <c r="D546" s="15"/>
      <c r="E546" s="50"/>
      <c r="F546" s="15"/>
      <c r="G546" s="15"/>
      <c r="H546" s="51"/>
      <c r="I546" s="23"/>
      <c r="J546" s="15"/>
      <c r="K546" s="15"/>
      <c r="L546" s="52"/>
    </row>
    <row r="547" spans="1:12" ht="13.2">
      <c r="A547" s="36"/>
      <c r="B547" s="36"/>
      <c r="C547" s="27"/>
      <c r="D547" s="36"/>
      <c r="E547" s="47"/>
      <c r="F547" s="36"/>
      <c r="G547" s="36"/>
      <c r="H547" s="48"/>
      <c r="I547" s="28"/>
      <c r="J547" s="36"/>
      <c r="K547" s="36"/>
      <c r="L547" s="49"/>
    </row>
    <row r="548" spans="1:12" ht="13.2">
      <c r="A548" s="15"/>
      <c r="B548" s="15"/>
      <c r="C548" s="22"/>
      <c r="D548" s="15"/>
      <c r="E548" s="50"/>
      <c r="F548" s="15"/>
      <c r="G548" s="15"/>
      <c r="H548" s="51"/>
      <c r="I548" s="23"/>
      <c r="J548" s="15"/>
      <c r="K548" s="15"/>
      <c r="L548" s="52"/>
    </row>
    <row r="549" spans="1:12" ht="13.2">
      <c r="A549" s="36"/>
      <c r="B549" s="36"/>
      <c r="C549" s="27"/>
      <c r="D549" s="36"/>
      <c r="E549" s="47"/>
      <c r="F549" s="36"/>
      <c r="G549" s="36"/>
      <c r="H549" s="48"/>
      <c r="I549" s="28"/>
      <c r="J549" s="36"/>
      <c r="K549" s="36"/>
      <c r="L549" s="49"/>
    </row>
    <row r="550" spans="1:12" ht="13.2">
      <c r="A550" s="15"/>
      <c r="B550" s="15"/>
      <c r="C550" s="22"/>
      <c r="D550" s="15"/>
      <c r="E550" s="50"/>
      <c r="F550" s="15"/>
      <c r="G550" s="15"/>
      <c r="H550" s="51"/>
      <c r="I550" s="23"/>
      <c r="J550" s="15"/>
      <c r="K550" s="15"/>
      <c r="L550" s="52"/>
    </row>
    <row r="551" spans="1:12" ht="13.2">
      <c r="A551" s="36"/>
      <c r="B551" s="36"/>
      <c r="C551" s="27"/>
      <c r="D551" s="36"/>
      <c r="E551" s="47"/>
      <c r="F551" s="36"/>
      <c r="G551" s="36"/>
      <c r="H551" s="48"/>
      <c r="I551" s="28"/>
      <c r="J551" s="36"/>
      <c r="K551" s="36"/>
      <c r="L551" s="49"/>
    </row>
    <row r="552" spans="1:12" ht="13.2">
      <c r="A552" s="15"/>
      <c r="B552" s="15"/>
      <c r="C552" s="22"/>
      <c r="D552" s="15"/>
      <c r="E552" s="50"/>
      <c r="F552" s="15"/>
      <c r="G552" s="15"/>
      <c r="H552" s="51"/>
      <c r="I552" s="23"/>
      <c r="J552" s="15"/>
      <c r="K552" s="15"/>
      <c r="L552" s="52"/>
    </row>
    <row r="553" spans="1:12" ht="13.2">
      <c r="A553" s="36"/>
      <c r="B553" s="36"/>
      <c r="C553" s="27"/>
      <c r="D553" s="36"/>
      <c r="E553" s="47"/>
      <c r="F553" s="36"/>
      <c r="G553" s="36"/>
      <c r="H553" s="48"/>
      <c r="I553" s="28"/>
      <c r="J553" s="36"/>
      <c r="K553" s="36"/>
      <c r="L553" s="49"/>
    </row>
    <row r="554" spans="1:12" ht="13.2">
      <c r="A554" s="15"/>
      <c r="B554" s="15"/>
      <c r="C554" s="22"/>
      <c r="D554" s="15"/>
      <c r="E554" s="50"/>
      <c r="F554" s="15"/>
      <c r="G554" s="15"/>
      <c r="H554" s="51"/>
      <c r="I554" s="23"/>
      <c r="J554" s="15"/>
      <c r="K554" s="15"/>
      <c r="L554" s="52"/>
    </row>
    <row r="555" spans="1:12" ht="13.2">
      <c r="A555" s="36"/>
      <c r="B555" s="36"/>
      <c r="C555" s="27"/>
      <c r="D555" s="36"/>
      <c r="E555" s="47"/>
      <c r="F555" s="36"/>
      <c r="G555" s="36"/>
      <c r="H555" s="48"/>
      <c r="I555" s="28"/>
      <c r="J555" s="36"/>
      <c r="K555" s="36"/>
      <c r="L555" s="49"/>
    </row>
    <row r="556" spans="1:12" ht="13.2">
      <c r="A556" s="15"/>
      <c r="B556" s="15"/>
      <c r="C556" s="22"/>
      <c r="D556" s="15"/>
      <c r="E556" s="50"/>
      <c r="F556" s="15"/>
      <c r="G556" s="15"/>
      <c r="H556" s="51"/>
      <c r="I556" s="23"/>
      <c r="J556" s="15"/>
      <c r="K556" s="15"/>
      <c r="L556" s="52"/>
    </row>
    <row r="557" spans="1:12" ht="13.2">
      <c r="A557" s="36"/>
      <c r="B557" s="36"/>
      <c r="C557" s="27"/>
      <c r="D557" s="36"/>
      <c r="E557" s="47"/>
      <c r="F557" s="36"/>
      <c r="G557" s="36"/>
      <c r="H557" s="48"/>
      <c r="I557" s="28"/>
      <c r="J557" s="36"/>
      <c r="K557" s="36"/>
      <c r="L557" s="49"/>
    </row>
    <row r="558" spans="1:12" ht="13.2">
      <c r="A558" s="15"/>
      <c r="B558" s="15"/>
      <c r="C558" s="22"/>
      <c r="D558" s="15"/>
      <c r="E558" s="50"/>
      <c r="F558" s="15"/>
      <c r="G558" s="15"/>
      <c r="H558" s="51"/>
      <c r="I558" s="23"/>
      <c r="J558" s="15"/>
      <c r="K558" s="15"/>
      <c r="L558" s="52"/>
    </row>
    <row r="559" spans="1:12" ht="13.2">
      <c r="A559" s="36"/>
      <c r="B559" s="36"/>
      <c r="C559" s="27"/>
      <c r="D559" s="36"/>
      <c r="E559" s="47"/>
      <c r="F559" s="36"/>
      <c r="G559" s="36"/>
      <c r="H559" s="48"/>
      <c r="I559" s="28"/>
      <c r="J559" s="36"/>
      <c r="K559" s="36"/>
      <c r="L559" s="49"/>
    </row>
    <row r="560" spans="1:12" ht="13.2">
      <c r="A560" s="15"/>
      <c r="B560" s="15"/>
      <c r="C560" s="22"/>
      <c r="D560" s="15"/>
      <c r="E560" s="50"/>
      <c r="F560" s="15"/>
      <c r="G560" s="15"/>
      <c r="H560" s="51"/>
      <c r="I560" s="23"/>
      <c r="J560" s="15"/>
      <c r="K560" s="15"/>
      <c r="L560" s="52"/>
    </row>
    <row r="561" spans="1:12" ht="13.2">
      <c r="A561" s="36"/>
      <c r="B561" s="36"/>
      <c r="C561" s="27"/>
      <c r="D561" s="36"/>
      <c r="E561" s="47"/>
      <c r="F561" s="36"/>
      <c r="G561" s="36"/>
      <c r="H561" s="48"/>
      <c r="I561" s="28"/>
      <c r="J561" s="36"/>
      <c r="K561" s="36"/>
      <c r="L561" s="49"/>
    </row>
    <row r="562" spans="1:12" ht="13.2">
      <c r="A562" s="15"/>
      <c r="B562" s="15"/>
      <c r="C562" s="22"/>
      <c r="D562" s="15"/>
      <c r="E562" s="50"/>
      <c r="F562" s="15"/>
      <c r="G562" s="15"/>
      <c r="H562" s="51"/>
      <c r="I562" s="23"/>
      <c r="J562" s="15"/>
      <c r="K562" s="15"/>
      <c r="L562" s="52"/>
    </row>
    <row r="563" spans="1:12" ht="13.2">
      <c r="A563" s="36"/>
      <c r="B563" s="36"/>
      <c r="C563" s="27"/>
      <c r="D563" s="36"/>
      <c r="E563" s="47"/>
      <c r="F563" s="36"/>
      <c r="G563" s="36"/>
      <c r="H563" s="48"/>
      <c r="I563" s="28"/>
      <c r="J563" s="36"/>
      <c r="K563" s="36"/>
      <c r="L563" s="49"/>
    </row>
    <row r="564" spans="1:12" ht="13.2">
      <c r="A564" s="15"/>
      <c r="B564" s="15"/>
      <c r="C564" s="22"/>
      <c r="D564" s="15"/>
      <c r="E564" s="50"/>
      <c r="F564" s="15"/>
      <c r="G564" s="15"/>
      <c r="H564" s="51"/>
      <c r="I564" s="23"/>
      <c r="J564" s="15"/>
      <c r="K564" s="15"/>
      <c r="L564" s="52"/>
    </row>
    <row r="565" spans="1:12" ht="13.2">
      <c r="A565" s="36"/>
      <c r="B565" s="36"/>
      <c r="C565" s="27"/>
      <c r="D565" s="36"/>
      <c r="E565" s="47"/>
      <c r="F565" s="36"/>
      <c r="G565" s="36"/>
      <c r="H565" s="48"/>
      <c r="I565" s="28"/>
      <c r="J565" s="36"/>
      <c r="K565" s="36"/>
      <c r="L565" s="49"/>
    </row>
    <row r="566" spans="1:12" ht="13.2">
      <c r="A566" s="15"/>
      <c r="B566" s="15"/>
      <c r="C566" s="22"/>
      <c r="D566" s="15"/>
      <c r="E566" s="50"/>
      <c r="F566" s="15"/>
      <c r="G566" s="15"/>
      <c r="H566" s="51"/>
      <c r="I566" s="23"/>
      <c r="J566" s="15"/>
      <c r="K566" s="15"/>
      <c r="L566" s="52"/>
    </row>
    <row r="567" spans="1:12" ht="13.2">
      <c r="A567" s="36"/>
      <c r="B567" s="36"/>
      <c r="C567" s="27"/>
      <c r="D567" s="36"/>
      <c r="E567" s="47"/>
      <c r="F567" s="36"/>
      <c r="G567" s="36"/>
      <c r="H567" s="48"/>
      <c r="I567" s="28"/>
      <c r="J567" s="36"/>
      <c r="K567" s="36"/>
      <c r="L567" s="49"/>
    </row>
    <row r="568" spans="1:12" ht="13.2">
      <c r="A568" s="15"/>
      <c r="B568" s="15"/>
      <c r="C568" s="22"/>
      <c r="D568" s="15"/>
      <c r="E568" s="50"/>
      <c r="F568" s="15"/>
      <c r="G568" s="15"/>
      <c r="H568" s="51"/>
      <c r="I568" s="23"/>
      <c r="J568" s="15"/>
      <c r="K568" s="15"/>
      <c r="L568" s="52"/>
    </row>
    <row r="569" spans="1:12" ht="13.2">
      <c r="A569" s="36"/>
      <c r="B569" s="36"/>
      <c r="C569" s="27"/>
      <c r="D569" s="36"/>
      <c r="E569" s="47"/>
      <c r="F569" s="36"/>
      <c r="G569" s="36"/>
      <c r="H569" s="48"/>
      <c r="I569" s="28"/>
      <c r="J569" s="36"/>
      <c r="K569" s="36"/>
      <c r="L569" s="49"/>
    </row>
    <row r="570" spans="1:12" ht="13.2">
      <c r="A570" s="15"/>
      <c r="B570" s="15"/>
      <c r="C570" s="22"/>
      <c r="D570" s="15"/>
      <c r="E570" s="50"/>
      <c r="F570" s="15"/>
      <c r="G570" s="15"/>
      <c r="H570" s="51"/>
      <c r="I570" s="23"/>
      <c r="J570" s="15"/>
      <c r="K570" s="15"/>
      <c r="L570" s="52"/>
    </row>
    <row r="571" spans="1:12" ht="13.2">
      <c r="A571" s="36"/>
      <c r="B571" s="36"/>
      <c r="C571" s="27"/>
      <c r="D571" s="36"/>
      <c r="E571" s="47"/>
      <c r="F571" s="36"/>
      <c r="G571" s="36"/>
      <c r="H571" s="48"/>
      <c r="I571" s="28"/>
      <c r="J571" s="36"/>
      <c r="K571" s="36"/>
      <c r="L571" s="49"/>
    </row>
    <row r="572" spans="1:12" ht="13.2">
      <c r="A572" s="15"/>
      <c r="B572" s="15"/>
      <c r="C572" s="22"/>
      <c r="D572" s="15"/>
      <c r="E572" s="50"/>
      <c r="F572" s="15"/>
      <c r="G572" s="15"/>
      <c r="H572" s="51"/>
      <c r="I572" s="23"/>
      <c r="J572" s="15"/>
      <c r="K572" s="15"/>
      <c r="L572" s="52"/>
    </row>
    <row r="573" spans="1:12" ht="13.2">
      <c r="A573" s="36"/>
      <c r="B573" s="36"/>
      <c r="C573" s="27"/>
      <c r="D573" s="36"/>
      <c r="E573" s="47"/>
      <c r="F573" s="36"/>
      <c r="G573" s="36"/>
      <c r="H573" s="48"/>
      <c r="I573" s="28"/>
      <c r="J573" s="36"/>
      <c r="K573" s="36"/>
      <c r="L573" s="49"/>
    </row>
    <row r="574" spans="1:12" ht="13.2">
      <c r="A574" s="15"/>
      <c r="B574" s="15"/>
      <c r="C574" s="22"/>
      <c r="D574" s="15"/>
      <c r="E574" s="50"/>
      <c r="F574" s="15"/>
      <c r="G574" s="15"/>
      <c r="H574" s="51"/>
      <c r="I574" s="23"/>
      <c r="J574" s="15"/>
      <c r="K574" s="15"/>
      <c r="L574" s="52"/>
    </row>
    <row r="575" spans="1:12" ht="13.2">
      <c r="A575" s="36"/>
      <c r="B575" s="36"/>
      <c r="C575" s="27"/>
      <c r="D575" s="36"/>
      <c r="E575" s="47"/>
      <c r="F575" s="36"/>
      <c r="G575" s="36"/>
      <c r="H575" s="48"/>
      <c r="I575" s="28"/>
      <c r="J575" s="36"/>
      <c r="K575" s="36"/>
      <c r="L575" s="49"/>
    </row>
    <row r="576" spans="1:12" ht="13.2">
      <c r="A576" s="15"/>
      <c r="B576" s="15"/>
      <c r="C576" s="22"/>
      <c r="D576" s="15"/>
      <c r="E576" s="50"/>
      <c r="F576" s="15"/>
      <c r="G576" s="15"/>
      <c r="H576" s="51"/>
      <c r="I576" s="23"/>
      <c r="J576" s="15"/>
      <c r="K576" s="15"/>
      <c r="L576" s="52"/>
    </row>
    <row r="577" spans="1:12" ht="13.2">
      <c r="A577" s="36"/>
      <c r="B577" s="36"/>
      <c r="C577" s="27"/>
      <c r="D577" s="36"/>
      <c r="E577" s="47"/>
      <c r="F577" s="36"/>
      <c r="G577" s="36"/>
      <c r="H577" s="48"/>
      <c r="I577" s="28"/>
      <c r="J577" s="36"/>
      <c r="K577" s="36"/>
      <c r="L577" s="49"/>
    </row>
    <row r="578" spans="1:12" ht="13.2">
      <c r="A578" s="15"/>
      <c r="B578" s="15"/>
      <c r="C578" s="22"/>
      <c r="D578" s="15"/>
      <c r="E578" s="50"/>
      <c r="F578" s="15"/>
      <c r="G578" s="15"/>
      <c r="H578" s="51"/>
      <c r="I578" s="23"/>
      <c r="J578" s="15"/>
      <c r="K578" s="15"/>
      <c r="L578" s="52"/>
    </row>
    <row r="579" spans="1:12" ht="13.2">
      <c r="A579" s="36"/>
      <c r="B579" s="36"/>
      <c r="C579" s="27"/>
      <c r="D579" s="36"/>
      <c r="E579" s="47"/>
      <c r="F579" s="36"/>
      <c r="G579" s="36"/>
      <c r="H579" s="48"/>
      <c r="I579" s="28"/>
      <c r="J579" s="36"/>
      <c r="K579" s="36"/>
      <c r="L579" s="49"/>
    </row>
    <row r="580" spans="1:12" ht="13.2">
      <c r="A580" s="15"/>
      <c r="B580" s="15"/>
      <c r="C580" s="22"/>
      <c r="D580" s="15"/>
      <c r="E580" s="50"/>
      <c r="F580" s="15"/>
      <c r="G580" s="15"/>
      <c r="H580" s="51"/>
      <c r="I580" s="23"/>
      <c r="J580" s="15"/>
      <c r="K580" s="15"/>
      <c r="L580" s="52"/>
    </row>
    <row r="581" spans="1:12" ht="13.2">
      <c r="A581" s="36"/>
      <c r="B581" s="36"/>
      <c r="C581" s="27"/>
      <c r="D581" s="36"/>
      <c r="E581" s="47"/>
      <c r="F581" s="36"/>
      <c r="G581" s="36"/>
      <c r="H581" s="48"/>
      <c r="I581" s="28"/>
      <c r="J581" s="36"/>
      <c r="K581" s="36"/>
      <c r="L581" s="49"/>
    </row>
    <row r="582" spans="1:12" ht="13.2">
      <c r="A582" s="15"/>
      <c r="B582" s="15"/>
      <c r="C582" s="22"/>
      <c r="D582" s="15"/>
      <c r="E582" s="50"/>
      <c r="F582" s="15"/>
      <c r="G582" s="15"/>
      <c r="H582" s="51"/>
      <c r="I582" s="23"/>
      <c r="J582" s="15"/>
      <c r="K582" s="15"/>
      <c r="L582" s="52"/>
    </row>
    <row r="583" spans="1:12" ht="13.2">
      <c r="A583" s="36"/>
      <c r="B583" s="36"/>
      <c r="C583" s="27"/>
      <c r="D583" s="36"/>
      <c r="E583" s="47"/>
      <c r="F583" s="36"/>
      <c r="G583" s="36"/>
      <c r="H583" s="48"/>
      <c r="I583" s="28"/>
      <c r="J583" s="36"/>
      <c r="K583" s="36"/>
      <c r="L583" s="49"/>
    </row>
    <row r="584" spans="1:12" ht="13.2">
      <c r="A584" s="15"/>
      <c r="B584" s="15"/>
      <c r="C584" s="22"/>
      <c r="D584" s="15"/>
      <c r="E584" s="50"/>
      <c r="F584" s="15"/>
      <c r="G584" s="15"/>
      <c r="H584" s="51"/>
      <c r="I584" s="23"/>
      <c r="J584" s="15"/>
      <c r="K584" s="15"/>
      <c r="L584" s="52"/>
    </row>
    <row r="585" spans="1:12" ht="13.2">
      <c r="A585" s="36"/>
      <c r="B585" s="36"/>
      <c r="C585" s="27"/>
      <c r="D585" s="36"/>
      <c r="E585" s="47"/>
      <c r="F585" s="36"/>
      <c r="G585" s="36"/>
      <c r="H585" s="48"/>
      <c r="I585" s="28"/>
      <c r="J585" s="36"/>
      <c r="K585" s="36"/>
      <c r="L585" s="49"/>
    </row>
    <row r="586" spans="1:12" ht="13.2">
      <c r="A586" s="15"/>
      <c r="B586" s="15"/>
      <c r="C586" s="22"/>
      <c r="D586" s="15"/>
      <c r="E586" s="50"/>
      <c r="F586" s="15"/>
      <c r="G586" s="15"/>
      <c r="H586" s="51"/>
      <c r="I586" s="23"/>
      <c r="J586" s="15"/>
      <c r="K586" s="15"/>
      <c r="L586" s="52"/>
    </row>
    <row r="587" spans="1:12" ht="13.2">
      <c r="A587" s="36"/>
      <c r="B587" s="36"/>
      <c r="C587" s="27"/>
      <c r="D587" s="36"/>
      <c r="E587" s="47"/>
      <c r="F587" s="36"/>
      <c r="G587" s="36"/>
      <c r="H587" s="48"/>
      <c r="I587" s="28"/>
      <c r="J587" s="36"/>
      <c r="K587" s="36"/>
      <c r="L587" s="49"/>
    </row>
    <row r="588" spans="1:12" ht="13.2">
      <c r="A588" s="15"/>
      <c r="B588" s="15"/>
      <c r="C588" s="22"/>
      <c r="D588" s="15"/>
      <c r="E588" s="50"/>
      <c r="F588" s="15"/>
      <c r="G588" s="15"/>
      <c r="H588" s="51"/>
      <c r="I588" s="23"/>
      <c r="J588" s="15"/>
      <c r="K588" s="15"/>
      <c r="L588" s="52"/>
    </row>
    <row r="589" spans="1:12" ht="13.2">
      <c r="A589" s="36"/>
      <c r="B589" s="36"/>
      <c r="C589" s="27"/>
      <c r="D589" s="36"/>
      <c r="E589" s="47"/>
      <c r="F589" s="36"/>
      <c r="G589" s="36"/>
      <c r="H589" s="48"/>
      <c r="I589" s="28"/>
      <c r="J589" s="36"/>
      <c r="K589" s="36"/>
      <c r="L589" s="49"/>
    </row>
    <row r="590" spans="1:12" ht="13.2">
      <c r="A590" s="15"/>
      <c r="B590" s="15"/>
      <c r="C590" s="22"/>
      <c r="D590" s="15"/>
      <c r="E590" s="50"/>
      <c r="F590" s="15"/>
      <c r="G590" s="15"/>
      <c r="H590" s="51"/>
      <c r="I590" s="23"/>
      <c r="J590" s="15"/>
      <c r="K590" s="15"/>
      <c r="L590" s="52"/>
    </row>
    <row r="591" spans="1:12" ht="13.2">
      <c r="A591" s="36"/>
      <c r="B591" s="36"/>
      <c r="C591" s="27"/>
      <c r="D591" s="36"/>
      <c r="E591" s="47"/>
      <c r="F591" s="36"/>
      <c r="G591" s="36"/>
      <c r="H591" s="48"/>
      <c r="I591" s="28"/>
      <c r="J591" s="36"/>
      <c r="K591" s="36"/>
      <c r="L591" s="49"/>
    </row>
    <row r="592" spans="1:12" ht="13.2">
      <c r="A592" s="15"/>
      <c r="B592" s="15"/>
      <c r="C592" s="22"/>
      <c r="D592" s="15"/>
      <c r="E592" s="50"/>
      <c r="F592" s="15"/>
      <c r="G592" s="15"/>
      <c r="H592" s="51"/>
      <c r="I592" s="23"/>
      <c r="J592" s="15"/>
      <c r="K592" s="15"/>
      <c r="L592" s="52"/>
    </row>
    <row r="593" spans="1:12" ht="13.2">
      <c r="A593" s="36"/>
      <c r="B593" s="36"/>
      <c r="C593" s="27"/>
      <c r="D593" s="36"/>
      <c r="E593" s="47"/>
      <c r="F593" s="36"/>
      <c r="G593" s="36"/>
      <c r="H593" s="48"/>
      <c r="I593" s="28"/>
      <c r="J593" s="36"/>
      <c r="K593" s="36"/>
      <c r="L593" s="49"/>
    </row>
    <row r="594" spans="1:12" ht="13.2">
      <c r="A594" s="15"/>
      <c r="B594" s="15"/>
      <c r="C594" s="22"/>
      <c r="D594" s="15"/>
      <c r="E594" s="50"/>
      <c r="F594" s="15"/>
      <c r="G594" s="15"/>
      <c r="H594" s="51"/>
      <c r="I594" s="23"/>
      <c r="J594" s="15"/>
      <c r="K594" s="15"/>
      <c r="L594" s="52"/>
    </row>
    <row r="595" spans="1:12" ht="13.2">
      <c r="A595" s="36"/>
      <c r="B595" s="36"/>
      <c r="C595" s="27"/>
      <c r="D595" s="36"/>
      <c r="E595" s="47"/>
      <c r="F595" s="36"/>
      <c r="G595" s="36"/>
      <c r="H595" s="48"/>
      <c r="I595" s="28"/>
      <c r="J595" s="36"/>
      <c r="K595" s="36"/>
      <c r="L595" s="49"/>
    </row>
    <row r="596" spans="1:12" ht="13.2">
      <c r="A596" s="15"/>
      <c r="B596" s="15"/>
      <c r="C596" s="22"/>
      <c r="D596" s="15"/>
      <c r="E596" s="50"/>
      <c r="F596" s="15"/>
      <c r="G596" s="15"/>
      <c r="H596" s="51"/>
      <c r="I596" s="23"/>
      <c r="J596" s="15"/>
      <c r="K596" s="15"/>
      <c r="L596" s="52"/>
    </row>
    <row r="597" spans="1:12" ht="13.2">
      <c r="A597" s="36"/>
      <c r="B597" s="36"/>
      <c r="C597" s="27"/>
      <c r="D597" s="36"/>
      <c r="E597" s="47"/>
      <c r="F597" s="36"/>
      <c r="G597" s="36"/>
      <c r="H597" s="48"/>
      <c r="I597" s="28"/>
      <c r="J597" s="36"/>
      <c r="K597" s="36"/>
      <c r="L597" s="49"/>
    </row>
    <row r="598" spans="1:12" ht="13.2">
      <c r="A598" s="15"/>
      <c r="B598" s="15"/>
      <c r="C598" s="22"/>
      <c r="D598" s="15"/>
      <c r="E598" s="50"/>
      <c r="F598" s="15"/>
      <c r="G598" s="15"/>
      <c r="H598" s="51"/>
      <c r="I598" s="23"/>
      <c r="J598" s="15"/>
      <c r="K598" s="15"/>
      <c r="L598" s="52"/>
    </row>
    <row r="599" spans="1:12" ht="13.2">
      <c r="A599" s="36"/>
      <c r="B599" s="36"/>
      <c r="C599" s="27"/>
      <c r="D599" s="36"/>
      <c r="E599" s="47"/>
      <c r="F599" s="36"/>
      <c r="G599" s="36"/>
      <c r="H599" s="48"/>
      <c r="I599" s="28"/>
      <c r="J599" s="36"/>
      <c r="K599" s="36"/>
      <c r="L599" s="49"/>
    </row>
    <row r="600" spans="1:12" ht="13.2">
      <c r="A600" s="15"/>
      <c r="B600" s="15"/>
      <c r="C600" s="22"/>
      <c r="D600" s="15"/>
      <c r="E600" s="50"/>
      <c r="F600" s="15"/>
      <c r="G600" s="15"/>
      <c r="H600" s="51"/>
      <c r="I600" s="23"/>
      <c r="J600" s="15"/>
      <c r="K600" s="15"/>
      <c r="L600" s="52"/>
    </row>
    <row r="601" spans="1:12" ht="13.2">
      <c r="A601" s="36"/>
      <c r="B601" s="36"/>
      <c r="C601" s="27"/>
      <c r="D601" s="36"/>
      <c r="E601" s="47"/>
      <c r="F601" s="36"/>
      <c r="G601" s="36"/>
      <c r="H601" s="48"/>
      <c r="I601" s="28"/>
      <c r="J601" s="36"/>
      <c r="K601" s="36"/>
      <c r="L601" s="49"/>
    </row>
    <row r="602" spans="1:12" ht="13.2">
      <c r="A602" s="15"/>
      <c r="B602" s="15"/>
      <c r="C602" s="22"/>
      <c r="D602" s="15"/>
      <c r="E602" s="50"/>
      <c r="F602" s="15"/>
      <c r="G602" s="15"/>
      <c r="H602" s="51"/>
      <c r="I602" s="23"/>
      <c r="J602" s="15"/>
      <c r="K602" s="15"/>
      <c r="L602" s="52"/>
    </row>
    <row r="603" spans="1:12" ht="13.2">
      <c r="A603" s="36"/>
      <c r="B603" s="36"/>
      <c r="C603" s="27"/>
      <c r="D603" s="36"/>
      <c r="E603" s="47"/>
      <c r="F603" s="36"/>
      <c r="G603" s="36"/>
      <c r="H603" s="48"/>
      <c r="I603" s="28"/>
      <c r="J603" s="36"/>
      <c r="K603" s="36"/>
      <c r="L603" s="49"/>
    </row>
    <row r="604" spans="1:12" ht="13.2">
      <c r="A604" s="15"/>
      <c r="B604" s="15"/>
      <c r="C604" s="22"/>
      <c r="D604" s="15"/>
      <c r="E604" s="50"/>
      <c r="F604" s="15"/>
      <c r="G604" s="15"/>
      <c r="H604" s="51"/>
      <c r="I604" s="23"/>
      <c r="J604" s="15"/>
      <c r="K604" s="15"/>
      <c r="L604" s="52"/>
    </row>
    <row r="605" spans="1:12" ht="13.2">
      <c r="A605" s="36"/>
      <c r="B605" s="36"/>
      <c r="C605" s="27"/>
      <c r="D605" s="36"/>
      <c r="E605" s="47"/>
      <c r="F605" s="36"/>
      <c r="G605" s="36"/>
      <c r="H605" s="48"/>
      <c r="I605" s="28"/>
      <c r="J605" s="36"/>
      <c r="K605" s="36"/>
      <c r="L605" s="49"/>
    </row>
    <row r="606" spans="1:12" ht="13.2">
      <c r="A606" s="15"/>
      <c r="B606" s="15"/>
      <c r="C606" s="22"/>
      <c r="D606" s="15"/>
      <c r="E606" s="50"/>
      <c r="F606" s="15"/>
      <c r="G606" s="15"/>
      <c r="H606" s="51"/>
      <c r="I606" s="23"/>
      <c r="J606" s="15"/>
      <c r="K606" s="15"/>
      <c r="L606" s="52"/>
    </row>
    <row r="607" spans="1:12" ht="13.2">
      <c r="A607" s="36"/>
      <c r="B607" s="36"/>
      <c r="C607" s="27"/>
      <c r="D607" s="36"/>
      <c r="E607" s="47"/>
      <c r="F607" s="36"/>
      <c r="G607" s="36"/>
      <c r="H607" s="48"/>
      <c r="I607" s="28"/>
      <c r="J607" s="36"/>
      <c r="K607" s="36"/>
      <c r="L607" s="49"/>
    </row>
    <row r="608" spans="1:12" ht="13.2">
      <c r="A608" s="15"/>
      <c r="B608" s="15"/>
      <c r="C608" s="22"/>
      <c r="D608" s="15"/>
      <c r="E608" s="50"/>
      <c r="F608" s="15"/>
      <c r="G608" s="15"/>
      <c r="H608" s="51"/>
      <c r="I608" s="23"/>
      <c r="J608" s="15"/>
      <c r="K608" s="15"/>
      <c r="L608" s="52"/>
    </row>
    <row r="609" spans="1:12" ht="13.2">
      <c r="A609" s="36"/>
      <c r="B609" s="36"/>
      <c r="C609" s="27"/>
      <c r="D609" s="36"/>
      <c r="E609" s="47"/>
      <c r="F609" s="36"/>
      <c r="G609" s="36"/>
      <c r="H609" s="48"/>
      <c r="I609" s="28"/>
      <c r="J609" s="36"/>
      <c r="K609" s="36"/>
      <c r="L609" s="49"/>
    </row>
    <row r="610" spans="1:12" ht="13.2">
      <c r="A610" s="15"/>
      <c r="B610" s="15"/>
      <c r="C610" s="22"/>
      <c r="D610" s="15"/>
      <c r="E610" s="50"/>
      <c r="F610" s="15"/>
      <c r="G610" s="15"/>
      <c r="H610" s="51"/>
      <c r="I610" s="23"/>
      <c r="J610" s="15"/>
      <c r="K610" s="15"/>
      <c r="L610" s="52"/>
    </row>
    <row r="611" spans="1:12" ht="13.2">
      <c r="A611" s="36"/>
      <c r="B611" s="36"/>
      <c r="C611" s="27"/>
      <c r="D611" s="36"/>
      <c r="E611" s="47"/>
      <c r="F611" s="36"/>
      <c r="G611" s="36"/>
      <c r="H611" s="48"/>
      <c r="I611" s="28"/>
      <c r="J611" s="36"/>
      <c r="K611" s="36"/>
      <c r="L611" s="49"/>
    </row>
    <row r="612" spans="1:12" ht="13.2">
      <c r="A612" s="15"/>
      <c r="B612" s="15"/>
      <c r="C612" s="22"/>
      <c r="D612" s="15"/>
      <c r="E612" s="50"/>
      <c r="F612" s="15"/>
      <c r="G612" s="15"/>
      <c r="H612" s="51"/>
      <c r="I612" s="23"/>
      <c r="J612" s="15"/>
      <c r="K612" s="15"/>
      <c r="L612" s="52"/>
    </row>
    <row r="613" spans="1:12" ht="13.2">
      <c r="A613" s="36"/>
      <c r="B613" s="36"/>
      <c r="C613" s="27"/>
      <c r="D613" s="36"/>
      <c r="E613" s="47"/>
      <c r="F613" s="36"/>
      <c r="G613" s="36"/>
      <c r="H613" s="48"/>
      <c r="I613" s="28"/>
      <c r="J613" s="36"/>
      <c r="K613" s="36"/>
      <c r="L613" s="49"/>
    </row>
    <row r="614" spans="1:12" ht="13.2">
      <c r="A614" s="15"/>
      <c r="B614" s="15"/>
      <c r="C614" s="22"/>
      <c r="D614" s="15"/>
      <c r="E614" s="50"/>
      <c r="F614" s="15"/>
      <c r="G614" s="15"/>
      <c r="H614" s="51"/>
      <c r="I614" s="23"/>
      <c r="J614" s="15"/>
      <c r="K614" s="15"/>
      <c r="L614" s="52"/>
    </row>
    <row r="615" spans="1:12" ht="13.2">
      <c r="A615" s="36"/>
      <c r="B615" s="36"/>
      <c r="C615" s="27"/>
      <c r="D615" s="36"/>
      <c r="E615" s="47"/>
      <c r="F615" s="36"/>
      <c r="G615" s="36"/>
      <c r="H615" s="48"/>
      <c r="I615" s="28"/>
      <c r="J615" s="36"/>
      <c r="K615" s="36"/>
      <c r="L615" s="49"/>
    </row>
    <row r="616" spans="1:12" ht="13.2">
      <c r="A616" s="15"/>
      <c r="B616" s="15"/>
      <c r="C616" s="22"/>
      <c r="D616" s="15"/>
      <c r="E616" s="50"/>
      <c r="F616" s="15"/>
      <c r="G616" s="15"/>
      <c r="H616" s="51"/>
      <c r="I616" s="23"/>
      <c r="J616" s="15"/>
      <c r="K616" s="15"/>
      <c r="L616" s="52"/>
    </row>
    <row r="617" spans="1:12" ht="13.2">
      <c r="A617" s="36"/>
      <c r="B617" s="36"/>
      <c r="C617" s="27"/>
      <c r="D617" s="36"/>
      <c r="E617" s="47"/>
      <c r="F617" s="36"/>
      <c r="G617" s="36"/>
      <c r="H617" s="48"/>
      <c r="I617" s="28"/>
      <c r="J617" s="36"/>
      <c r="K617" s="36"/>
      <c r="L617" s="49"/>
    </row>
    <row r="618" spans="1:12" ht="13.2">
      <c r="A618" s="15"/>
      <c r="B618" s="15"/>
      <c r="C618" s="22"/>
      <c r="D618" s="15"/>
      <c r="E618" s="50"/>
      <c r="F618" s="15"/>
      <c r="G618" s="15"/>
      <c r="H618" s="51"/>
      <c r="I618" s="23"/>
      <c r="J618" s="15"/>
      <c r="K618" s="15"/>
      <c r="L618" s="52"/>
    </row>
    <row r="619" spans="1:12" ht="13.2">
      <c r="A619" s="36"/>
      <c r="B619" s="36"/>
      <c r="C619" s="27"/>
      <c r="D619" s="36"/>
      <c r="E619" s="47"/>
      <c r="F619" s="36"/>
      <c r="G619" s="36"/>
      <c r="H619" s="48"/>
      <c r="I619" s="28"/>
      <c r="J619" s="36"/>
      <c r="K619" s="36"/>
      <c r="L619" s="49"/>
    </row>
    <row r="620" spans="1:12" ht="13.2">
      <c r="A620" s="15"/>
      <c r="B620" s="15"/>
      <c r="C620" s="22"/>
      <c r="D620" s="15"/>
      <c r="E620" s="50"/>
      <c r="F620" s="15"/>
      <c r="G620" s="15"/>
      <c r="H620" s="51"/>
      <c r="I620" s="23"/>
      <c r="J620" s="15"/>
      <c r="K620" s="15"/>
      <c r="L620" s="52"/>
    </row>
    <row r="621" spans="1:12" ht="13.2">
      <c r="A621" s="36"/>
      <c r="B621" s="36"/>
      <c r="C621" s="27"/>
      <c r="D621" s="36"/>
      <c r="E621" s="47"/>
      <c r="F621" s="36"/>
      <c r="G621" s="36"/>
      <c r="H621" s="48"/>
      <c r="I621" s="28"/>
      <c r="J621" s="36"/>
      <c r="K621" s="36"/>
      <c r="L621" s="49"/>
    </row>
    <row r="622" spans="1:12" ht="13.2">
      <c r="A622" s="15"/>
      <c r="B622" s="15"/>
      <c r="C622" s="22"/>
      <c r="D622" s="15"/>
      <c r="E622" s="50"/>
      <c r="F622" s="15"/>
      <c r="G622" s="15"/>
      <c r="H622" s="51"/>
      <c r="I622" s="23"/>
      <c r="J622" s="15"/>
      <c r="K622" s="15"/>
      <c r="L622" s="52"/>
    </row>
    <row r="623" spans="1:12" ht="13.2">
      <c r="A623" s="36"/>
      <c r="B623" s="36"/>
      <c r="C623" s="27"/>
      <c r="D623" s="36"/>
      <c r="E623" s="47"/>
      <c r="F623" s="36"/>
      <c r="G623" s="36"/>
      <c r="H623" s="48"/>
      <c r="I623" s="28"/>
      <c r="J623" s="36"/>
      <c r="K623" s="36"/>
      <c r="L623" s="49"/>
    </row>
    <row r="624" spans="1:12" ht="13.2">
      <c r="A624" s="15"/>
      <c r="B624" s="15"/>
      <c r="C624" s="22"/>
      <c r="D624" s="15"/>
      <c r="E624" s="50"/>
      <c r="F624" s="15"/>
      <c r="G624" s="15"/>
      <c r="H624" s="51"/>
      <c r="I624" s="23"/>
      <c r="J624" s="15"/>
      <c r="K624" s="15"/>
      <c r="L624" s="52"/>
    </row>
    <row r="625" spans="1:12" ht="13.2">
      <c r="A625" s="36"/>
      <c r="B625" s="36"/>
      <c r="C625" s="27"/>
      <c r="D625" s="36"/>
      <c r="E625" s="47"/>
      <c r="F625" s="36"/>
      <c r="G625" s="36"/>
      <c r="H625" s="48"/>
      <c r="I625" s="28"/>
      <c r="J625" s="36"/>
      <c r="K625" s="36"/>
      <c r="L625" s="49"/>
    </row>
    <row r="626" spans="1:12" ht="13.2">
      <c r="A626" s="15"/>
      <c r="B626" s="15"/>
      <c r="C626" s="22"/>
      <c r="D626" s="15"/>
      <c r="E626" s="50"/>
      <c r="F626" s="15"/>
      <c r="G626" s="15"/>
      <c r="H626" s="51"/>
      <c r="I626" s="23"/>
      <c r="J626" s="15"/>
      <c r="K626" s="15"/>
      <c r="L626" s="52"/>
    </row>
    <row r="627" spans="1:12" ht="13.2">
      <c r="A627" s="36"/>
      <c r="B627" s="36"/>
      <c r="C627" s="27"/>
      <c r="D627" s="36"/>
      <c r="E627" s="47"/>
      <c r="F627" s="36"/>
      <c r="G627" s="36"/>
      <c r="H627" s="48"/>
      <c r="I627" s="28"/>
      <c r="J627" s="36"/>
      <c r="K627" s="36"/>
      <c r="L627" s="49"/>
    </row>
    <row r="628" spans="1:12" ht="13.2">
      <c r="A628" s="15"/>
      <c r="B628" s="15"/>
      <c r="C628" s="22"/>
      <c r="D628" s="15"/>
      <c r="E628" s="50"/>
      <c r="F628" s="15"/>
      <c r="G628" s="15"/>
      <c r="H628" s="51"/>
      <c r="I628" s="23"/>
      <c r="J628" s="15"/>
      <c r="K628" s="15"/>
      <c r="L628" s="52"/>
    </row>
    <row r="629" spans="1:12" ht="13.2">
      <c r="A629" s="36"/>
      <c r="B629" s="36"/>
      <c r="C629" s="27"/>
      <c r="D629" s="36"/>
      <c r="E629" s="47"/>
      <c r="F629" s="36"/>
      <c r="G629" s="36"/>
      <c r="H629" s="48"/>
      <c r="I629" s="28"/>
      <c r="J629" s="36"/>
      <c r="K629" s="36"/>
      <c r="L629" s="49"/>
    </row>
    <row r="630" spans="1:12" ht="13.2">
      <c r="A630" s="15"/>
      <c r="B630" s="15"/>
      <c r="C630" s="22"/>
      <c r="D630" s="15"/>
      <c r="E630" s="50"/>
      <c r="F630" s="15"/>
      <c r="G630" s="15"/>
      <c r="H630" s="51"/>
      <c r="I630" s="23"/>
      <c r="J630" s="15"/>
      <c r="K630" s="15"/>
      <c r="L630" s="52"/>
    </row>
    <row r="631" spans="1:12" ht="13.2">
      <c r="A631" s="36"/>
      <c r="B631" s="36"/>
      <c r="C631" s="27"/>
      <c r="D631" s="36"/>
      <c r="E631" s="47"/>
      <c r="F631" s="36"/>
      <c r="G631" s="36"/>
      <c r="H631" s="48"/>
      <c r="I631" s="28"/>
      <c r="J631" s="36"/>
      <c r="K631" s="36"/>
      <c r="L631" s="49"/>
    </row>
    <row r="632" spans="1:12" ht="13.2">
      <c r="A632" s="15"/>
      <c r="B632" s="15"/>
      <c r="C632" s="22"/>
      <c r="D632" s="15"/>
      <c r="E632" s="50"/>
      <c r="F632" s="15"/>
      <c r="G632" s="15"/>
      <c r="H632" s="51"/>
      <c r="I632" s="23"/>
      <c r="J632" s="15"/>
      <c r="K632" s="15"/>
      <c r="L632" s="52"/>
    </row>
    <row r="633" spans="1:12" ht="13.2">
      <c r="A633" s="36"/>
      <c r="B633" s="36"/>
      <c r="C633" s="27"/>
      <c r="D633" s="36"/>
      <c r="E633" s="47"/>
      <c r="F633" s="36"/>
      <c r="G633" s="36"/>
      <c r="H633" s="48"/>
      <c r="I633" s="28"/>
      <c r="J633" s="36"/>
      <c r="K633" s="36"/>
      <c r="L633" s="49"/>
    </row>
  </sheetData>
  <autoFilter ref="A2:L175" xr:uid="{00000000-0009-0000-0000-000003000000}">
    <filterColumn colId="1">
      <filters>
        <filter val="4"/>
      </filters>
    </filterColumn>
  </autoFilter>
  <mergeCells count="1">
    <mergeCell ref="A1:D1"/>
  </mergeCells>
  <conditionalFormatting sqref="A2:I633">
    <cfRule type="expression" dxfId="4" priority="1">
      <formula>$K2 = "Done"</formula>
    </cfRule>
    <cfRule type="expression" dxfId="3" priority="2">
      <formula>$K2 = "Done"</formula>
    </cfRule>
  </conditionalFormatting>
  <conditionalFormatting sqref="D2:D633">
    <cfRule type="colorScale" priority="3">
      <colorScale>
        <cfvo type="formula" val="1"/>
        <cfvo type="formula" val="2"/>
        <cfvo type="formula" val="3"/>
        <color rgb="FFE67C73"/>
        <color rgb="FFFFD666"/>
        <color rgb="FF57BB8A"/>
      </colorScale>
    </cfRule>
  </conditionalFormatting>
  <conditionalFormatting sqref="J1:J633">
    <cfRule type="timePeriod" dxfId="2" priority="4" timePeriod="today">
      <formula>FLOOR(J1,1)=TODAY()</formula>
    </cfRule>
    <cfRule type="expression" dxfId="1" priority="5">
      <formula>AND(ISNUMBER(J1),TRUNC(J1)&lt;TODAY())</formula>
    </cfRule>
    <cfRule type="expression" dxfId="0" priority="6">
      <formula>AND(ISNUMBER(J1),TRUNC(J1)&gt;TODAY())</formula>
    </cfRule>
  </conditionalFormatting>
  <dataValidations count="1">
    <dataValidation type="list" allowBlank="1" showErrorMessage="1" sqref="K3:K633" xr:uid="{00000000-0002-0000-0300-000001000000}">
      <formula1>"Backlog,Progress,Done"</formula1>
    </dataValidation>
  </dataValidations>
  <printOptions horizontalCentered="1" verticalCentered="1" gridLines="1"/>
  <pageMargins left="0.7" right="0.7" top="0.75" bottom="0.75" header="0" footer="0"/>
  <pageSetup paperSize="9" fitToHeight="0" pageOrder="overThenDown" orientation="landscape"/>
  <legacyDrawing r:id="rId1"/>
  <extLst>
    <ext xmlns:x14="http://schemas.microsoft.com/office/spreadsheetml/2009/9/main" uri="{CCE6A557-97BC-4b89-ADB6-D9C93CAAB3DF}">
      <x14:dataValidations xmlns:xm="http://schemas.microsoft.com/office/excel/2006/main" count="1">
        <x14:dataValidation type="list" allowBlank="1" showErrorMessage="1" xr:uid="{00000000-0002-0000-0300-000000000000}">
          <x14:formula1>
            <xm:f>Calendar!$A$4:$A$13</xm:f>
          </x14:formula1>
          <xm:sqref>F42:G633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E67C73"/>
    <outlinePr summaryBelow="0" summaryRight="0"/>
    <pageSetUpPr fitToPage="1"/>
  </sheetPr>
  <dimension ref="A1:AY42"/>
  <sheetViews>
    <sheetView workbookViewId="0">
      <pane xSplit="9" topLeftCell="J1" activePane="topRight" state="frozen"/>
      <selection pane="topRight" activeCell="J2" sqref="J2:K2"/>
    </sheetView>
  </sheetViews>
  <sheetFormatPr defaultColWidth="12.5546875" defaultRowHeight="15.75" customHeight="1"/>
  <cols>
    <col min="1" max="1" width="9.33203125" customWidth="1"/>
    <col min="2" max="51" width="7.6640625" customWidth="1"/>
  </cols>
  <sheetData>
    <row r="1" spans="1:51">
      <c r="A1" s="71">
        <v>2</v>
      </c>
      <c r="B1" s="126" t="s">
        <v>447</v>
      </c>
      <c r="C1" s="127"/>
      <c r="D1" s="126" t="s">
        <v>448</v>
      </c>
      <c r="E1" s="127"/>
      <c r="F1" s="126" t="s">
        <v>449</v>
      </c>
      <c r="G1" s="127"/>
      <c r="H1" s="128"/>
      <c r="I1" s="127"/>
      <c r="J1" s="126" t="s">
        <v>450</v>
      </c>
      <c r="K1" s="129"/>
      <c r="L1" s="129"/>
      <c r="M1" s="129"/>
      <c r="N1" s="129"/>
      <c r="O1" s="129"/>
      <c r="P1" s="129"/>
      <c r="Q1" s="129"/>
      <c r="R1" s="129"/>
      <c r="S1" s="129"/>
      <c r="T1" s="129"/>
      <c r="U1" s="129"/>
      <c r="V1" s="129"/>
      <c r="W1" s="127"/>
      <c r="X1" s="126" t="s">
        <v>451</v>
      </c>
      <c r="Y1" s="129"/>
      <c r="Z1" s="129"/>
      <c r="AA1" s="129"/>
      <c r="AB1" s="129"/>
      <c r="AC1" s="129"/>
      <c r="AD1" s="129"/>
      <c r="AE1" s="129"/>
      <c r="AF1" s="129"/>
      <c r="AG1" s="129"/>
      <c r="AH1" s="129"/>
      <c r="AI1" s="129"/>
      <c r="AJ1" s="129"/>
      <c r="AK1" s="127"/>
      <c r="AL1" s="126" t="s">
        <v>452</v>
      </c>
      <c r="AM1" s="129"/>
      <c r="AN1" s="129"/>
      <c r="AO1" s="129"/>
      <c r="AP1" s="129"/>
      <c r="AQ1" s="129"/>
      <c r="AR1" s="129"/>
      <c r="AS1" s="129"/>
      <c r="AT1" s="129"/>
      <c r="AU1" s="129"/>
      <c r="AV1" s="129"/>
      <c r="AW1" s="129"/>
      <c r="AX1" s="129"/>
      <c r="AY1" s="127"/>
    </row>
    <row r="2" spans="1:51">
      <c r="A2" s="72"/>
      <c r="B2" s="124" t="s">
        <v>453</v>
      </c>
      <c r="C2" s="122"/>
      <c r="D2" s="124" t="s">
        <v>453</v>
      </c>
      <c r="E2" s="122"/>
      <c r="F2" s="124" t="s">
        <v>453</v>
      </c>
      <c r="G2" s="122"/>
      <c r="H2" s="124" t="s">
        <v>454</v>
      </c>
      <c r="I2" s="125"/>
      <c r="J2" s="123">
        <v>44999</v>
      </c>
      <c r="K2" s="122"/>
      <c r="L2" s="121">
        <v>45000</v>
      </c>
      <c r="M2" s="122"/>
      <c r="N2" s="121">
        <v>45001</v>
      </c>
      <c r="O2" s="122"/>
      <c r="P2" s="121">
        <v>45002</v>
      </c>
      <c r="Q2" s="122"/>
      <c r="R2" s="121">
        <v>45003</v>
      </c>
      <c r="S2" s="122"/>
      <c r="T2" s="121">
        <v>45004</v>
      </c>
      <c r="U2" s="122"/>
      <c r="V2" s="121">
        <v>45012</v>
      </c>
      <c r="W2" s="125"/>
      <c r="X2" s="123">
        <v>45013</v>
      </c>
      <c r="Y2" s="122"/>
      <c r="Z2" s="121">
        <v>45014</v>
      </c>
      <c r="AA2" s="122"/>
      <c r="AB2" s="121">
        <v>45015</v>
      </c>
      <c r="AC2" s="122"/>
      <c r="AD2" s="121">
        <v>45016</v>
      </c>
      <c r="AE2" s="122"/>
      <c r="AF2" s="121">
        <v>45017</v>
      </c>
      <c r="AG2" s="122"/>
      <c r="AH2" s="121">
        <v>45018</v>
      </c>
      <c r="AI2" s="122"/>
      <c r="AJ2" s="121">
        <v>45033</v>
      </c>
      <c r="AK2" s="125"/>
      <c r="AL2" s="130" t="s">
        <v>455</v>
      </c>
      <c r="AM2" s="122"/>
      <c r="AN2" s="122"/>
      <c r="AO2" s="122"/>
      <c r="AP2" s="122"/>
      <c r="AQ2" s="122"/>
      <c r="AR2" s="122"/>
      <c r="AS2" s="122"/>
      <c r="AT2" s="122"/>
      <c r="AU2" s="122"/>
      <c r="AV2" s="122"/>
      <c r="AW2" s="122"/>
      <c r="AX2" s="122"/>
      <c r="AY2" s="125"/>
    </row>
    <row r="3" spans="1:51">
      <c r="A3" s="73" t="s">
        <v>456</v>
      </c>
      <c r="B3" s="74" t="s">
        <v>457</v>
      </c>
      <c r="C3" s="75" t="s">
        <v>458</v>
      </c>
      <c r="D3" s="74" t="s">
        <v>457</v>
      </c>
      <c r="E3" s="75" t="s">
        <v>458</v>
      </c>
      <c r="F3" s="74" t="s">
        <v>457</v>
      </c>
      <c r="G3" s="75" t="s">
        <v>458</v>
      </c>
      <c r="H3" s="76" t="s">
        <v>457</v>
      </c>
      <c r="I3" s="77" t="s">
        <v>458</v>
      </c>
      <c r="J3" s="74" t="s">
        <v>457</v>
      </c>
      <c r="K3" s="75" t="s">
        <v>458</v>
      </c>
      <c r="L3" s="78" t="s">
        <v>457</v>
      </c>
      <c r="M3" s="78" t="s">
        <v>458</v>
      </c>
      <c r="N3" s="78" t="s">
        <v>457</v>
      </c>
      <c r="O3" s="78" t="s">
        <v>458</v>
      </c>
      <c r="P3" s="78" t="s">
        <v>457</v>
      </c>
      <c r="Q3" s="78" t="s">
        <v>458</v>
      </c>
      <c r="R3" s="78" t="s">
        <v>457</v>
      </c>
      <c r="S3" s="78" t="s">
        <v>458</v>
      </c>
      <c r="T3" s="78" t="s">
        <v>457</v>
      </c>
      <c r="U3" s="78" t="s">
        <v>458</v>
      </c>
      <c r="V3" s="78" t="s">
        <v>457</v>
      </c>
      <c r="W3" s="78" t="s">
        <v>458</v>
      </c>
      <c r="X3" s="76" t="s">
        <v>457</v>
      </c>
      <c r="Y3" s="78" t="s">
        <v>458</v>
      </c>
      <c r="Z3" s="78" t="s">
        <v>457</v>
      </c>
      <c r="AA3" s="78" t="s">
        <v>458</v>
      </c>
      <c r="AB3" s="78" t="s">
        <v>457</v>
      </c>
      <c r="AC3" s="78" t="s">
        <v>458</v>
      </c>
      <c r="AD3" s="78" t="s">
        <v>457</v>
      </c>
      <c r="AE3" s="78" t="s">
        <v>458</v>
      </c>
      <c r="AF3" s="78" t="s">
        <v>457</v>
      </c>
      <c r="AG3" s="78" t="s">
        <v>458</v>
      </c>
      <c r="AH3" s="78" t="s">
        <v>457</v>
      </c>
      <c r="AI3" s="78" t="s">
        <v>458</v>
      </c>
      <c r="AJ3" s="78" t="s">
        <v>457</v>
      </c>
      <c r="AK3" s="77" t="s">
        <v>458</v>
      </c>
      <c r="AL3" s="131"/>
      <c r="AM3" s="132"/>
      <c r="AN3" s="132"/>
      <c r="AO3" s="132"/>
      <c r="AP3" s="132"/>
      <c r="AQ3" s="132"/>
      <c r="AR3" s="132"/>
      <c r="AS3" s="132"/>
      <c r="AT3" s="132"/>
      <c r="AU3" s="132"/>
      <c r="AV3" s="132"/>
      <c r="AW3" s="132"/>
      <c r="AX3" s="132"/>
      <c r="AY3" s="133"/>
    </row>
    <row r="4" spans="1:51">
      <c r="A4" s="79" t="s">
        <v>53</v>
      </c>
      <c r="B4" s="14">
        <f>SUMIFS(Tasks!$H$3:$H1004, Tasks!$F$3:$F1004, $A4, Tasks!$B$3:$B1004, $A$1, Tasks!$K$3:$K1004, "Backlog")</f>
        <v>0</v>
      </c>
      <c r="C4" s="80">
        <f>SUMIFS(Tasks!$H$3:$H1004, Tasks!$G$3:$G1004, $A4, Tasks!$B$3:$B1004, $A$1, Tasks!$K$3:$K1004, "Backlog")</f>
        <v>0</v>
      </c>
      <c r="D4" s="14">
        <f>SUMIFS(Tasks!$H$3:$H1004, Tasks!$F$3:$F1004, $A4, Tasks!$B$3:$B1004, $A$1, Tasks!$K$3:$K1004, "Progress")-SUMIFS(Tasks!$I$3:$I1004, Tasks!$F$3:$F1004, $A4, Tasks!$B$3:$B1004, $A$1, Tasks!$K$3:$K1004, "Progress")</f>
        <v>0</v>
      </c>
      <c r="E4" s="80">
        <f>SUMIFS(Tasks!$H$3:$H1004, Tasks!$G$3:$G1004, $A4, Tasks!$B$3:$B1004, $A$1, Tasks!$K$3:$K1004, "Progress")-SUMIFS(Tasks!$I$3:$I1004, Tasks!$G$3:$G1004, $A4, Tasks!$B$3:$B1004, $A$1, Tasks!$K$3:$K1004, "Progress")</f>
        <v>0</v>
      </c>
      <c r="F4" s="14">
        <f t="shared" ref="F4:G4" si="0">H4+B4</f>
        <v>14</v>
      </c>
      <c r="G4" s="80">
        <f t="shared" si="0"/>
        <v>10</v>
      </c>
      <c r="H4" s="14">
        <f t="shared" ref="H4:I4" si="1">SUM(J4,L4,N4,P4,R4,T4,V4,X4,Z4,AB4,AD4,AF4,AH4,AJ4)</f>
        <v>14</v>
      </c>
      <c r="I4" s="81">
        <f t="shared" si="1"/>
        <v>10</v>
      </c>
      <c r="J4" s="14">
        <f>SUMIFS(Task_hours!$H$4:$H$997, Task_hours!$E$4:$E$997, J$2, Task_hours!$F$4:$F$997, $A4)</f>
        <v>0</v>
      </c>
      <c r="K4" s="14">
        <f>SUMIFS(Task_hours!$H$4:$H$997, Task_hours!$E$4:$E$997, J$2, Task_hours!$G$4:$G$997, $A4)</f>
        <v>0</v>
      </c>
      <c r="L4" s="14">
        <f>SUMIFS(Task_hours!$H$4:$H$997, Task_hours!$E$4:$E$997, L$2, Task_hours!$F$4:$F$997, $A4)</f>
        <v>0</v>
      </c>
      <c r="M4" s="14">
        <f>SUMIFS(Task_hours!$H$4:$H$997, Task_hours!$E$4:$E$997, L$2, Task_hours!$G$4:$G$997, $A4)</f>
        <v>0</v>
      </c>
      <c r="N4" s="14">
        <f>SUMIFS(Task_hours!$H$4:$H$997, Task_hours!$E$4:$E$997, N$2, Task_hours!$F$4:$F$997, $A4)</f>
        <v>0</v>
      </c>
      <c r="O4" s="14">
        <f>SUMIFS(Task_hours!$H$4:$H$997, Task_hours!$E$4:$E$997, N$2, Task_hours!$G$4:$G$997, $A4)</f>
        <v>0</v>
      </c>
      <c r="P4" s="14">
        <f>SUMIFS(Task_hours!$H$4:$H$997, Task_hours!$E$4:$E$997, P$2, Task_hours!$F$4:$F$997, $A4)</f>
        <v>0</v>
      </c>
      <c r="Q4" s="14">
        <f>SUMIFS(Task_hours!$H$4:$H$997, Task_hours!$E$4:$E$997, P$2, Task_hours!$G$4:$G$997, $A4)</f>
        <v>3</v>
      </c>
      <c r="R4" s="14">
        <f>SUMIFS(Task_hours!$H$4:$H$997, Task_hours!$E$4:$E$997, R$2, Task_hours!$F$4:$F$997, $A4)</f>
        <v>0</v>
      </c>
      <c r="S4" s="14">
        <f>SUMIFS(Task_hours!$H$4:$H$997, Task_hours!$E$4:$E$997, R$2, Task_hours!$G$4:$G$997, $A4)</f>
        <v>0</v>
      </c>
      <c r="T4" s="14">
        <f>SUMIFS(Task_hours!$H$4:$H$997, Task_hours!$E$4:$E$997, T$2, Task_hours!$F$4:$F$997, $A4)</f>
        <v>4</v>
      </c>
      <c r="U4" s="14">
        <f>SUMIFS(Task_hours!$H$4:$H$997, Task_hours!$E$4:$E$997, T$2, Task_hours!$G$4:$G$997, $A4)</f>
        <v>0</v>
      </c>
      <c r="V4" s="14">
        <f>SUMIFS(Task_hours!$H$4:$H$997, Task_hours!$E$4:$E$997, V$2, Task_hours!$F$4:$F$997, $A4)</f>
        <v>3</v>
      </c>
      <c r="W4" s="14">
        <f>SUMIFS(Task_hours!$H$4:$H$997, Task_hours!$E$4:$E$997, V$2, Task_hours!$G$4:$G$997, $A4)</f>
        <v>0</v>
      </c>
      <c r="X4" s="14">
        <f>SUMIFS(Task_hours!$H$4:$H$997, Task_hours!$E$4:$E$997, X$2, Task_hours!$F$4:$F$997, $A4)</f>
        <v>0</v>
      </c>
      <c r="Y4" s="14">
        <f>SUMIFS(Task_hours!$H$4:$H$997, Task_hours!$E$4:$E$997, X$2, Task_hours!$G$4:$G$997, $A4)</f>
        <v>0</v>
      </c>
      <c r="Z4" s="14">
        <f>SUMIFS(Task_hours!$H$4:$H$997, Task_hours!$E$4:$E$997, Z$2, Task_hours!$F$4:$F$997, $A4)</f>
        <v>0</v>
      </c>
      <c r="AA4" s="14">
        <f>SUMIFS(Task_hours!$H$4:$H$997, Task_hours!$E$4:$E$997, Z$2, Task_hours!$G$4:$G$997, $A4)</f>
        <v>0</v>
      </c>
      <c r="AB4" s="14">
        <f>SUMIFS(Task_hours!$H$4:$H$997, Task_hours!$E$4:$E$997, AB$2, Task_hours!$F$4:$F$997, $A4)</f>
        <v>0</v>
      </c>
      <c r="AC4" s="14">
        <f>SUMIFS(Task_hours!$H$4:$H$997, Task_hours!$E$4:$E$997, AB$2, Task_hours!$G$4:$G$997, $A4)</f>
        <v>0</v>
      </c>
      <c r="AD4" s="14">
        <f>SUMIFS(Task_hours!$H$4:$H$997, Task_hours!$E$4:$E$997, AD$2, Task_hours!$F$4:$F$997, $A4)</f>
        <v>0</v>
      </c>
      <c r="AE4" s="14">
        <f>SUMIFS(Task_hours!$H$4:$H$997, Task_hours!$E$4:$E$997, AD$2, Task_hours!$G$4:$G$997, $A4)</f>
        <v>0</v>
      </c>
      <c r="AF4" s="14">
        <f>SUMIFS(Task_hours!$H$4:$H$997, Task_hours!$E$4:$E$997, AF$2, Task_hours!$F$4:$F$997, $A4)</f>
        <v>0</v>
      </c>
      <c r="AG4" s="14">
        <f>SUMIFS(Task_hours!$H$4:$H$997, Task_hours!$E$4:$E$997, AF$2, Task_hours!$G$4:$G$997, $A4)</f>
        <v>0</v>
      </c>
      <c r="AH4" s="14">
        <f>SUMIFS(Task_hours!$H$4:$H$997, Task_hours!$E$4:$E$997, AH$2, Task_hours!$F$4:$F$997, $A4)</f>
        <v>3</v>
      </c>
      <c r="AI4" s="14">
        <f>SUMIFS(Task_hours!$H$4:$H$997, Task_hours!$E$4:$E$997, AH$2, Task_hours!$G$4:$G$997, $A4)</f>
        <v>5</v>
      </c>
      <c r="AJ4" s="14">
        <f>SUMIFS(Task_hours!$H$4:$H$997, Task_hours!$E$4:$E$997, AJ$2, Task_hours!$F$4:$F$997, $A4)</f>
        <v>4</v>
      </c>
      <c r="AK4" s="14">
        <f>SUMIFS(Task_hours!$H$4:$H$997, Task_hours!$E$4:$E$997, AJ$2, Task_hours!$G$4:$G$997, $A4)</f>
        <v>2</v>
      </c>
      <c r="AL4" s="14">
        <f>SUMIFS(Task_hours!$H$4:$H$997, Task_hours!$E$4:$E$997, AL$2, Task_hours!$F$4:$F$997, $A4)</f>
        <v>0</v>
      </c>
      <c r="AM4" s="14">
        <f>SUMIFS(Task_hours!$H$4:$H$997, Task_hours!$E$4:$E$997, AL$2, Task_hours!$G$4:$G$997, $A4)</f>
        <v>0</v>
      </c>
      <c r="AN4" s="14">
        <f>SUMIFS(Task_hours!$H$4:$H$997, Task_hours!$E$4:$E$997, AN$2, Task_hours!$F$4:$F$997, $A4)</f>
        <v>0</v>
      </c>
      <c r="AO4" s="14">
        <f>SUMIFS(Task_hours!$H$4:$H$997, Task_hours!$E$4:$E$997, AN$2, Task_hours!$G$4:$G$997, $A4)</f>
        <v>0</v>
      </c>
      <c r="AP4" s="14">
        <f>SUMIFS(Task_hours!$H$4:$H$997, Task_hours!$E$4:$E$997, AP$2, Task_hours!$F$4:$F$997, $A4)</f>
        <v>0</v>
      </c>
      <c r="AQ4" s="14">
        <f>SUMIFS(Task_hours!$H$4:$H$997, Task_hours!$E$4:$E$997, AP$2, Task_hours!$G$4:$G$997, $A4)</f>
        <v>0</v>
      </c>
      <c r="AR4" s="14">
        <f>SUMIFS(Task_hours!$H$4:$H$997, Task_hours!$E$4:$E$997, AR$2, Task_hours!$F$4:$F$997, $A4)</f>
        <v>0</v>
      </c>
      <c r="AS4" s="14">
        <f>SUMIFS(Task_hours!$H$4:$H$997, Task_hours!$E$4:$E$997, AR$2, Task_hours!$G$4:$G$997, $A4)</f>
        <v>0</v>
      </c>
      <c r="AT4" s="14">
        <f>SUMIFS(Task_hours!$H$4:$H$997, Task_hours!$E$4:$E$997, AT$2, Task_hours!$F$4:$F$997, $A4)</f>
        <v>0</v>
      </c>
      <c r="AU4" s="14">
        <f>SUMIFS(Task_hours!$H$4:$H$997, Task_hours!$E$4:$E$997, AT$2, Task_hours!$G$4:$G$997, $A4)</f>
        <v>0</v>
      </c>
      <c r="AV4" s="14">
        <f>SUMIFS(Task_hours!$H$4:$H$997, Task_hours!$E$4:$E$997, AV$2, Task_hours!$F$4:$F$997, $A4)</f>
        <v>0</v>
      </c>
      <c r="AW4" s="14">
        <f>SUMIFS(Task_hours!$H$4:$H$997, Task_hours!$E$4:$E$997, AV$2, Task_hours!$G$4:$G$997, $A4)</f>
        <v>0</v>
      </c>
      <c r="AX4" s="14">
        <f>SUMIFS(Task_hours!$H$4:$H$997, Task_hours!$E$4:$E$997, AX$2, Task_hours!$F$4:$F$997, $A4)</f>
        <v>0</v>
      </c>
      <c r="AY4" s="14">
        <f>SUMIFS(Task_hours!$H$4:$H$997, Task_hours!$E$4:$E$997, AX$2, Task_hours!$G$4:$G$997, $A4)</f>
        <v>0</v>
      </c>
    </row>
    <row r="5" spans="1:51">
      <c r="A5" s="79" t="s">
        <v>66</v>
      </c>
      <c r="B5" s="14">
        <f>SUMIFS(Tasks!$H$3:$H1004, Tasks!$F$3:$F1004, $A5, Tasks!$B$3:$B1004, $A$1, Tasks!$K$3:$K1004, "Backlog")</f>
        <v>0</v>
      </c>
      <c r="C5" s="80">
        <f>SUMIFS(Tasks!$H$3:$H1004, Tasks!$G$3:$G1004, $A5, Tasks!$B$3:$B1004, $A$1, Tasks!$K$3:$K1004, "Backlog")</f>
        <v>0</v>
      </c>
      <c r="D5" s="14">
        <f>SUMIFS(Tasks!$H$3:$H1004, Tasks!$F$3:$F1004, $A5, Tasks!$B$3:$B1004, $A$1, Tasks!$K$3:$K1004, "Progress")-SUMIFS(Tasks!$I$3:$I1004, Tasks!$F$3:$F1004, $A5, Tasks!$B$3:$B1004, $A$1, Tasks!$K$3:$K1004, "Progress")</f>
        <v>0</v>
      </c>
      <c r="E5" s="80">
        <f>SUMIFS(Tasks!$H$3:$H1004, Tasks!$G$3:$G1004, $A5, Tasks!$B$3:$B1004, $A$1, Tasks!$K$3:$K1004, "Progress")-SUMIFS(Tasks!$I$3:$I1004, Tasks!$G$3:$G1004, $A5, Tasks!$B$3:$B1004, $A$1, Tasks!$K$3:$K1004, "Progress")</f>
        <v>0</v>
      </c>
      <c r="F5" s="14">
        <f t="shared" ref="F5:G5" si="2">H5+B5</f>
        <v>6.5</v>
      </c>
      <c r="G5" s="80">
        <f t="shared" si="2"/>
        <v>7</v>
      </c>
      <c r="H5" s="14">
        <f t="shared" ref="H5:I5" si="3">SUM(J5,L5,N5,P5,R5,T5,V5,X5,Z5,AB5,AD5,AF5,AH5,AJ5)</f>
        <v>6.5</v>
      </c>
      <c r="I5" s="81">
        <f t="shared" si="3"/>
        <v>7</v>
      </c>
      <c r="J5" s="14">
        <f>SUMIFS(Task_hours!$H$4:$H$997, Task_hours!$E$4:$E$997, J$2, Task_hours!$F$4:$F$997, $A5)</f>
        <v>0</v>
      </c>
      <c r="K5" s="14">
        <f>SUMIFS(Task_hours!$H$4:$H$997, Task_hours!$E$4:$E$997, J$2, Task_hours!$G$4:$G$997, $A5)</f>
        <v>0</v>
      </c>
      <c r="L5" s="14">
        <f>SUMIFS(Task_hours!$H$4:$H$997, Task_hours!$E$4:$E$997, L$2, Task_hours!$F$4:$F$997, $A5)</f>
        <v>0</v>
      </c>
      <c r="M5" s="14">
        <f>SUMIFS(Task_hours!$H$4:$H$997, Task_hours!$E$4:$E$997, L$2, Task_hours!$G$4:$G$997, $A5)</f>
        <v>0</v>
      </c>
      <c r="N5" s="14">
        <f>SUMIFS(Task_hours!$H$4:$H$997, Task_hours!$E$4:$E$997, N$2, Task_hours!$F$4:$F$997, $A5)</f>
        <v>0</v>
      </c>
      <c r="O5" s="14">
        <f>SUMIFS(Task_hours!$H$4:$H$997, Task_hours!$E$4:$E$997, N$2, Task_hours!$G$4:$G$997, $A5)</f>
        <v>0</v>
      </c>
      <c r="P5" s="14">
        <f>SUMIFS(Task_hours!$H$4:$H$997, Task_hours!$E$4:$E$997, P$2, Task_hours!$F$4:$F$997, $A5)</f>
        <v>0</v>
      </c>
      <c r="Q5" s="14">
        <f>SUMIFS(Task_hours!$H$4:$H$997, Task_hours!$E$4:$E$997, P$2, Task_hours!$G$4:$G$997, $A5)</f>
        <v>0</v>
      </c>
      <c r="R5" s="14">
        <f>SUMIFS(Task_hours!$H$4:$H$997, Task_hours!$E$4:$E$997, R$2, Task_hours!$F$4:$F$997, $A5)</f>
        <v>0</v>
      </c>
      <c r="S5" s="14">
        <f>SUMIFS(Task_hours!$H$4:$H$997, Task_hours!$E$4:$E$997, R$2, Task_hours!$G$4:$G$997, $A5)</f>
        <v>0</v>
      </c>
      <c r="T5" s="14">
        <f>SUMIFS(Task_hours!$H$4:$H$997, Task_hours!$E$4:$E$997, T$2, Task_hours!$F$4:$F$997, $A5)</f>
        <v>0</v>
      </c>
      <c r="U5" s="14">
        <f>SUMIFS(Task_hours!$H$4:$H$997, Task_hours!$E$4:$E$997, T$2, Task_hours!$G$4:$G$997, $A5)</f>
        <v>4</v>
      </c>
      <c r="V5" s="14">
        <f>SUMIFS(Task_hours!$H$4:$H$997, Task_hours!$E$4:$E$997, V$2, Task_hours!$F$4:$F$997, $A5)</f>
        <v>0</v>
      </c>
      <c r="W5" s="14">
        <f>SUMIFS(Task_hours!$H$4:$H$997, Task_hours!$E$4:$E$997, V$2, Task_hours!$G$4:$G$997, $A5)</f>
        <v>3</v>
      </c>
      <c r="X5" s="14">
        <f>SUMIFS(Task_hours!$H$4:$H$997, Task_hours!$E$4:$E$997, X$2, Task_hours!$F$4:$F$997, $A5)</f>
        <v>0</v>
      </c>
      <c r="Y5" s="14">
        <f>SUMIFS(Task_hours!$H$4:$H$997, Task_hours!$E$4:$E$997, X$2, Task_hours!$G$4:$G$997, $A5)</f>
        <v>0</v>
      </c>
      <c r="Z5" s="14">
        <f>SUMIFS(Task_hours!$H$4:$H$997, Task_hours!$E$4:$E$997, Z$2, Task_hours!$F$4:$F$997, $A5)</f>
        <v>0</v>
      </c>
      <c r="AA5" s="14">
        <f>SUMIFS(Task_hours!$H$4:$H$997, Task_hours!$E$4:$E$997, Z$2, Task_hours!$G$4:$G$997, $A5)</f>
        <v>0</v>
      </c>
      <c r="AB5" s="14">
        <f>SUMIFS(Task_hours!$H$4:$H$997, Task_hours!$E$4:$E$997, AB$2, Task_hours!$F$4:$F$997, $A5)</f>
        <v>0</v>
      </c>
      <c r="AC5" s="14">
        <f>SUMIFS(Task_hours!$H$4:$H$997, Task_hours!$E$4:$E$997, AB$2, Task_hours!$G$4:$G$997, $A5)</f>
        <v>0</v>
      </c>
      <c r="AD5" s="14">
        <f>SUMIFS(Task_hours!$H$4:$H$997, Task_hours!$E$4:$E$997, AD$2, Task_hours!$F$4:$F$997, $A5)</f>
        <v>0</v>
      </c>
      <c r="AE5" s="14">
        <f>SUMIFS(Task_hours!$H$4:$H$997, Task_hours!$E$4:$E$997, AD$2, Task_hours!$G$4:$G$997, $A5)</f>
        <v>0</v>
      </c>
      <c r="AF5" s="14">
        <f>SUMIFS(Task_hours!$H$4:$H$997, Task_hours!$E$4:$E$997, AF$2, Task_hours!$F$4:$F$997, $A5)</f>
        <v>0</v>
      </c>
      <c r="AG5" s="14">
        <f>SUMIFS(Task_hours!$H$4:$H$997, Task_hours!$E$4:$E$997, AF$2, Task_hours!$G$4:$G$997, $A5)</f>
        <v>0</v>
      </c>
      <c r="AH5" s="14">
        <f>SUMIFS(Task_hours!$H$4:$H$997, Task_hours!$E$4:$E$997, AH$2, Task_hours!$F$4:$F$997, $A5)</f>
        <v>3</v>
      </c>
      <c r="AI5" s="14">
        <f>SUMIFS(Task_hours!$H$4:$H$997, Task_hours!$E$4:$E$997, AH$2, Task_hours!$G$4:$G$997, $A5)</f>
        <v>0</v>
      </c>
      <c r="AJ5" s="14">
        <f>SUMIFS(Task_hours!$H$4:$H$997, Task_hours!$E$4:$E$997, AJ$2, Task_hours!$F$4:$F$997, $A5)</f>
        <v>3.5</v>
      </c>
      <c r="AK5" s="14">
        <f>SUMIFS(Task_hours!$H$4:$H$997, Task_hours!$E$4:$E$997, AJ$2, Task_hours!$G$4:$G$997, $A5)</f>
        <v>0</v>
      </c>
      <c r="AL5" s="14">
        <f>SUMIFS(Task_hours!$H$4:$H$997, Task_hours!$E$4:$E$997, AL$2, Task_hours!$F$4:$F$997, $A5)</f>
        <v>0</v>
      </c>
      <c r="AM5" s="14">
        <f>SUMIFS(Task_hours!$H$4:$H$997, Task_hours!$E$4:$E$997, AL$2, Task_hours!$G$4:$G$997, $A5)</f>
        <v>0</v>
      </c>
      <c r="AN5" s="14">
        <f>SUMIFS(Task_hours!$H$4:$H$997, Task_hours!$E$4:$E$997, AN$2, Task_hours!$F$4:$F$997, $A5)</f>
        <v>0</v>
      </c>
      <c r="AO5" s="14">
        <f>SUMIFS(Task_hours!$H$4:$H$997, Task_hours!$E$4:$E$997, AN$2, Task_hours!$G$4:$G$997, $A5)</f>
        <v>0</v>
      </c>
      <c r="AP5" s="14">
        <f>SUMIFS(Task_hours!$H$4:$H$997, Task_hours!$E$4:$E$997, AP$2, Task_hours!$F$4:$F$997, $A5)</f>
        <v>0</v>
      </c>
      <c r="AQ5" s="14">
        <f>SUMIFS(Task_hours!$H$4:$H$997, Task_hours!$E$4:$E$997, AP$2, Task_hours!$G$4:$G$997, $A5)</f>
        <v>0</v>
      </c>
      <c r="AR5" s="14">
        <f>SUMIFS(Task_hours!$H$4:$H$997, Task_hours!$E$4:$E$997, AR$2, Task_hours!$F$4:$F$997, $A5)</f>
        <v>0</v>
      </c>
      <c r="AS5" s="14">
        <f>SUMIFS(Task_hours!$H$4:$H$997, Task_hours!$E$4:$E$997, AR$2, Task_hours!$G$4:$G$997, $A5)</f>
        <v>0</v>
      </c>
      <c r="AT5" s="14">
        <f>SUMIFS(Task_hours!$H$4:$H$997, Task_hours!$E$4:$E$997, AT$2, Task_hours!$F$4:$F$997, $A5)</f>
        <v>0</v>
      </c>
      <c r="AU5" s="14">
        <f>SUMIFS(Task_hours!$H$4:$H$997, Task_hours!$E$4:$E$997, AT$2, Task_hours!$G$4:$G$997, $A5)</f>
        <v>0</v>
      </c>
      <c r="AV5" s="14">
        <f>SUMIFS(Task_hours!$H$4:$H$997, Task_hours!$E$4:$E$997, AV$2, Task_hours!$F$4:$F$997, $A5)</f>
        <v>0</v>
      </c>
      <c r="AW5" s="14">
        <f>SUMIFS(Task_hours!$H$4:$H$997, Task_hours!$E$4:$E$997, AV$2, Task_hours!$G$4:$G$997, $A5)</f>
        <v>0</v>
      </c>
      <c r="AX5" s="14">
        <f>SUMIFS(Task_hours!$H$4:$H$997, Task_hours!$E$4:$E$997, AX$2, Task_hours!$F$4:$F$997, $A5)</f>
        <v>0</v>
      </c>
      <c r="AY5" s="14">
        <f>SUMIFS(Task_hours!$H$4:$H$997, Task_hours!$E$4:$E$997, AX$2, Task_hours!$G$4:$G$997, $A5)</f>
        <v>0</v>
      </c>
    </row>
    <row r="6" spans="1:51">
      <c r="A6" s="79" t="s">
        <v>56</v>
      </c>
      <c r="B6" s="14">
        <f>SUMIFS(Tasks!$H$3:$H1004, Tasks!$F$3:$F1004, $A6, Tasks!$B$3:$B1004, $A$1, Tasks!$K$3:$K1004, "Backlog")</f>
        <v>0</v>
      </c>
      <c r="C6" s="80">
        <f>SUMIFS(Tasks!$H$3:$H1004, Tasks!$G$3:$G1004, $A6, Tasks!$B$3:$B1004, $A$1, Tasks!$K$3:$K1004, "Backlog")</f>
        <v>0</v>
      </c>
      <c r="D6" s="14">
        <f>SUMIFS(Tasks!$H$3:$H1004, Tasks!$F$3:$F1004, $A6, Tasks!$B$3:$B1004, $A$1, Tasks!$K$3:$K1004, "Progress")-SUMIFS(Tasks!$I$3:$I1004, Tasks!$F$3:$F1004, $A6, Tasks!$B$3:$B1004, $A$1, Tasks!$K$3:$K1004, "Progress")</f>
        <v>0</v>
      </c>
      <c r="E6" s="80">
        <f>SUMIFS(Tasks!$H$3:$H1004, Tasks!$G$3:$G1004, $A6, Tasks!$B$3:$B1004, $A$1, Tasks!$K$3:$K1004, "Progress")-SUMIFS(Tasks!$I$3:$I1004, Tasks!$G$3:$G1004, $A6, Tasks!$B$3:$B1004, $A$1, Tasks!$K$3:$K1004, "Progress")</f>
        <v>0</v>
      </c>
      <c r="F6" s="14">
        <f t="shared" ref="F6:G6" si="4">H6+B6</f>
        <v>2</v>
      </c>
      <c r="G6" s="80">
        <f t="shared" si="4"/>
        <v>11.5</v>
      </c>
      <c r="H6" s="14">
        <f t="shared" ref="H6:I6" si="5">SUM(J6,L6,N6,P6,R6,T6,V6,X6,Z6,AB6,AD6,AF6,AH6,AJ6)</f>
        <v>2</v>
      </c>
      <c r="I6" s="81">
        <f t="shared" si="5"/>
        <v>11.5</v>
      </c>
      <c r="J6" s="14">
        <f>SUMIFS(Task_hours!$H$4:$H$997, Task_hours!$E$4:$E$997, J$2, Task_hours!$F$4:$F$997, $A6)</f>
        <v>0</v>
      </c>
      <c r="K6" s="14">
        <f>SUMIFS(Task_hours!$H$4:$H$997, Task_hours!$E$4:$E$997, J$2, Task_hours!$G$4:$G$997, $A6)</f>
        <v>0</v>
      </c>
      <c r="L6" s="14">
        <f>SUMIFS(Task_hours!$H$4:$H$997, Task_hours!$E$4:$E$997, L$2, Task_hours!$F$4:$F$997, $A6)</f>
        <v>0</v>
      </c>
      <c r="M6" s="14">
        <f>SUMIFS(Task_hours!$H$4:$H$997, Task_hours!$E$4:$E$997, L$2, Task_hours!$G$4:$G$997, $A6)</f>
        <v>0</v>
      </c>
      <c r="N6" s="14">
        <f>SUMIFS(Task_hours!$H$4:$H$997, Task_hours!$E$4:$E$997, N$2, Task_hours!$F$4:$F$997, $A6)</f>
        <v>0</v>
      </c>
      <c r="O6" s="14">
        <f>SUMIFS(Task_hours!$H$4:$H$997, Task_hours!$E$4:$E$997, N$2, Task_hours!$G$4:$G$997, $A6)</f>
        <v>0</v>
      </c>
      <c r="P6" s="14">
        <f>SUMIFS(Task_hours!$H$4:$H$997, Task_hours!$E$4:$E$997, P$2, Task_hours!$F$4:$F$997, $A6)</f>
        <v>0</v>
      </c>
      <c r="Q6" s="14">
        <f>SUMIFS(Task_hours!$H$4:$H$997, Task_hours!$E$4:$E$997, P$2, Task_hours!$G$4:$G$997, $A6)</f>
        <v>1</v>
      </c>
      <c r="R6" s="14">
        <f>SUMIFS(Task_hours!$H$4:$H$997, Task_hours!$E$4:$E$997, R$2, Task_hours!$F$4:$F$997, $A6)</f>
        <v>0</v>
      </c>
      <c r="S6" s="14">
        <f>SUMIFS(Task_hours!$H$4:$H$997, Task_hours!$E$4:$E$997, R$2, Task_hours!$G$4:$G$997, $A6)</f>
        <v>0</v>
      </c>
      <c r="T6" s="14">
        <f>SUMIFS(Task_hours!$H$4:$H$997, Task_hours!$E$4:$E$997, T$2, Task_hours!$F$4:$F$997, $A6)</f>
        <v>0</v>
      </c>
      <c r="U6" s="14">
        <f>SUMIFS(Task_hours!$H$4:$H$997, Task_hours!$E$4:$E$997, T$2, Task_hours!$G$4:$G$997, $A6)</f>
        <v>0</v>
      </c>
      <c r="V6" s="14">
        <f>SUMIFS(Task_hours!$H$4:$H$997, Task_hours!$E$4:$E$997, V$2, Task_hours!$F$4:$F$997, $A6)</f>
        <v>0</v>
      </c>
      <c r="W6" s="14">
        <f>SUMIFS(Task_hours!$H$4:$H$997, Task_hours!$E$4:$E$997, V$2, Task_hours!$G$4:$G$997, $A6)</f>
        <v>0</v>
      </c>
      <c r="X6" s="14">
        <f>SUMIFS(Task_hours!$H$4:$H$997, Task_hours!$E$4:$E$997, X$2, Task_hours!$F$4:$F$997, $A6)</f>
        <v>0</v>
      </c>
      <c r="Y6" s="14">
        <f>SUMIFS(Task_hours!$H$4:$H$997, Task_hours!$E$4:$E$997, X$2, Task_hours!$G$4:$G$997, $A6)</f>
        <v>0</v>
      </c>
      <c r="Z6" s="14">
        <f>SUMIFS(Task_hours!$H$4:$H$997, Task_hours!$E$4:$E$997, Z$2, Task_hours!$F$4:$F$997, $A6)</f>
        <v>0</v>
      </c>
      <c r="AA6" s="14">
        <f>SUMIFS(Task_hours!$H$4:$H$997, Task_hours!$E$4:$E$997, Z$2, Task_hours!$G$4:$G$997, $A6)</f>
        <v>0</v>
      </c>
      <c r="AB6" s="14">
        <f>SUMIFS(Task_hours!$H$4:$H$997, Task_hours!$E$4:$E$997, AB$2, Task_hours!$F$4:$F$997, $A6)</f>
        <v>0</v>
      </c>
      <c r="AC6" s="14">
        <f>SUMIFS(Task_hours!$H$4:$H$997, Task_hours!$E$4:$E$997, AB$2, Task_hours!$G$4:$G$997, $A6)</f>
        <v>0</v>
      </c>
      <c r="AD6" s="14">
        <f>SUMIFS(Task_hours!$H$4:$H$997, Task_hours!$E$4:$E$997, AD$2, Task_hours!$F$4:$F$997, $A6)</f>
        <v>0</v>
      </c>
      <c r="AE6" s="14">
        <f>SUMIFS(Task_hours!$H$4:$H$997, Task_hours!$E$4:$E$997, AD$2, Task_hours!$G$4:$G$997, $A6)</f>
        <v>0</v>
      </c>
      <c r="AF6" s="14">
        <f>SUMIFS(Task_hours!$H$4:$H$997, Task_hours!$E$4:$E$997, AF$2, Task_hours!$F$4:$F$997, $A6)</f>
        <v>0</v>
      </c>
      <c r="AG6" s="14">
        <f>SUMIFS(Task_hours!$H$4:$H$997, Task_hours!$E$4:$E$997, AF$2, Task_hours!$G$4:$G$997, $A6)</f>
        <v>0</v>
      </c>
      <c r="AH6" s="14">
        <f>SUMIFS(Task_hours!$H$4:$H$997, Task_hours!$E$4:$E$997, AH$2, Task_hours!$F$4:$F$997, $A6)</f>
        <v>2</v>
      </c>
      <c r="AI6" s="14">
        <f>SUMIFS(Task_hours!$H$4:$H$997, Task_hours!$E$4:$E$997, AH$2, Task_hours!$G$4:$G$997, $A6)</f>
        <v>3.5</v>
      </c>
      <c r="AJ6" s="14">
        <f>SUMIFS(Task_hours!$H$4:$H$997, Task_hours!$E$4:$E$997, AJ$2, Task_hours!$F$4:$F$997, $A6)</f>
        <v>0</v>
      </c>
      <c r="AK6" s="14">
        <f>SUMIFS(Task_hours!$H$4:$H$997, Task_hours!$E$4:$E$997, AJ$2, Task_hours!$G$4:$G$997, $A6)</f>
        <v>7</v>
      </c>
      <c r="AL6" s="14">
        <f>SUMIFS(Task_hours!$H$4:$H$997, Task_hours!$E$4:$E$997, AL$2, Task_hours!$F$4:$F$997, $A6)</f>
        <v>0</v>
      </c>
      <c r="AM6" s="14">
        <f>SUMIFS(Task_hours!$H$4:$H$997, Task_hours!$E$4:$E$997, AL$2, Task_hours!$G$4:$G$997, $A6)</f>
        <v>0</v>
      </c>
      <c r="AN6" s="14">
        <f>SUMIFS(Task_hours!$H$4:$H$997, Task_hours!$E$4:$E$997, AN$2, Task_hours!$F$4:$F$997, $A6)</f>
        <v>0</v>
      </c>
      <c r="AO6" s="14">
        <f>SUMIFS(Task_hours!$H$4:$H$997, Task_hours!$E$4:$E$997, AN$2, Task_hours!$G$4:$G$997, $A6)</f>
        <v>0</v>
      </c>
      <c r="AP6" s="14">
        <f>SUMIFS(Task_hours!$H$4:$H$997, Task_hours!$E$4:$E$997, AP$2, Task_hours!$F$4:$F$997, $A6)</f>
        <v>0</v>
      </c>
      <c r="AQ6" s="14">
        <f>SUMIFS(Task_hours!$H$4:$H$997, Task_hours!$E$4:$E$997, AP$2, Task_hours!$G$4:$G$997, $A6)</f>
        <v>0</v>
      </c>
      <c r="AR6" s="14">
        <f>SUMIFS(Task_hours!$H$4:$H$997, Task_hours!$E$4:$E$997, AR$2, Task_hours!$F$4:$F$997, $A6)</f>
        <v>0</v>
      </c>
      <c r="AS6" s="14">
        <f>SUMIFS(Task_hours!$H$4:$H$997, Task_hours!$E$4:$E$997, AR$2, Task_hours!$G$4:$G$997, $A6)</f>
        <v>0</v>
      </c>
      <c r="AT6" s="14">
        <f>SUMIFS(Task_hours!$H$4:$H$997, Task_hours!$E$4:$E$997, AT$2, Task_hours!$F$4:$F$997, $A6)</f>
        <v>0</v>
      </c>
      <c r="AU6" s="14">
        <f>SUMIFS(Task_hours!$H$4:$H$997, Task_hours!$E$4:$E$997, AT$2, Task_hours!$G$4:$G$997, $A6)</f>
        <v>0</v>
      </c>
      <c r="AV6" s="14">
        <f>SUMIFS(Task_hours!$H$4:$H$997, Task_hours!$E$4:$E$997, AV$2, Task_hours!$F$4:$F$997, $A6)</f>
        <v>0</v>
      </c>
      <c r="AW6" s="14">
        <f>SUMIFS(Task_hours!$H$4:$H$997, Task_hours!$E$4:$E$997, AV$2, Task_hours!$G$4:$G$997, $A6)</f>
        <v>0</v>
      </c>
      <c r="AX6" s="14">
        <f>SUMIFS(Task_hours!$H$4:$H$997, Task_hours!$E$4:$E$997, AX$2, Task_hours!$F$4:$F$997, $A6)</f>
        <v>0</v>
      </c>
      <c r="AY6" s="14">
        <f>SUMIFS(Task_hours!$H$4:$H$997, Task_hours!$E$4:$E$997, AX$2, Task_hours!$G$4:$G$997, $A6)</f>
        <v>0</v>
      </c>
    </row>
    <row r="7" spans="1:51">
      <c r="A7" s="79" t="s">
        <v>49</v>
      </c>
      <c r="B7" s="14">
        <f>SUMIFS(Tasks!$H$3:$H1004, Tasks!$F$3:$F1004, $A7, Tasks!$B$3:$B1004, $A$1, Tasks!$K$3:$K1004, "Backlog")</f>
        <v>0</v>
      </c>
      <c r="C7" s="80">
        <f>SUMIFS(Tasks!$H$3:$H1004, Tasks!$G$3:$G1004, $A7, Tasks!$B$3:$B1004, $A$1, Tasks!$K$3:$K1004, "Backlog")</f>
        <v>0</v>
      </c>
      <c r="D7" s="14">
        <f>SUMIFS(Tasks!$H$3:$H1004, Tasks!$F$3:$F1004, $A7, Tasks!$B$3:$B1004, $A$1, Tasks!$K$3:$K1004, "Progress")-SUMIFS(Tasks!$I$3:$I1004, Tasks!$F$3:$F1004, $A7, Tasks!$B$3:$B1004, $A$1, Tasks!$K$3:$K1004, "Progress")</f>
        <v>0</v>
      </c>
      <c r="E7" s="80">
        <f>SUMIFS(Tasks!$H$3:$H1004, Tasks!$G$3:$G1004, $A7, Tasks!$B$3:$B1004, $A$1, Tasks!$K$3:$K1004, "Progress")-SUMIFS(Tasks!$I$3:$I1004, Tasks!$G$3:$G1004, $A7, Tasks!$B$3:$B1004, $A$1, Tasks!$K$3:$K1004, "Progress")</f>
        <v>0</v>
      </c>
      <c r="F7" s="14">
        <f t="shared" ref="F7:G7" si="6">H7+B7</f>
        <v>15.5</v>
      </c>
      <c r="G7" s="80">
        <f t="shared" si="6"/>
        <v>8</v>
      </c>
      <c r="H7" s="14">
        <f t="shared" ref="H7:I7" si="7">SUM(J7,L7,N7,P7,R7,T7,V7,X7,Z7,AB7,AD7,AF7,AH7,AJ7)</f>
        <v>15.5</v>
      </c>
      <c r="I7" s="81">
        <f t="shared" si="7"/>
        <v>8</v>
      </c>
      <c r="J7" s="14">
        <f>SUMIFS(Task_hours!$H$4:$H$997, Task_hours!$E$4:$E$997, J$2, Task_hours!$F$4:$F$997, $A7)</f>
        <v>0</v>
      </c>
      <c r="K7" s="14">
        <f>SUMIFS(Task_hours!$H$4:$H$997, Task_hours!$E$4:$E$997, J$2, Task_hours!$G$4:$G$997, $A7)</f>
        <v>0</v>
      </c>
      <c r="L7" s="14">
        <f>SUMIFS(Task_hours!$H$4:$H$997, Task_hours!$E$4:$E$997, L$2, Task_hours!$F$4:$F$997, $A7)</f>
        <v>0</v>
      </c>
      <c r="M7" s="14">
        <f>SUMIFS(Task_hours!$H$4:$H$997, Task_hours!$E$4:$E$997, L$2, Task_hours!$G$4:$G$997, $A7)</f>
        <v>0</v>
      </c>
      <c r="N7" s="14">
        <f>SUMIFS(Task_hours!$H$4:$H$997, Task_hours!$E$4:$E$997, N$2, Task_hours!$F$4:$F$997, $A7)</f>
        <v>1</v>
      </c>
      <c r="O7" s="14">
        <f>SUMIFS(Task_hours!$H$4:$H$997, Task_hours!$E$4:$E$997, N$2, Task_hours!$G$4:$G$997, $A7)</f>
        <v>1</v>
      </c>
      <c r="P7" s="14">
        <f>SUMIFS(Task_hours!$H$4:$H$997, Task_hours!$E$4:$E$997, P$2, Task_hours!$F$4:$F$997, $A7)</f>
        <v>1</v>
      </c>
      <c r="Q7" s="14">
        <f>SUMIFS(Task_hours!$H$4:$H$997, Task_hours!$E$4:$E$997, P$2, Task_hours!$G$4:$G$997, $A7)</f>
        <v>0</v>
      </c>
      <c r="R7" s="14">
        <f>SUMIFS(Task_hours!$H$4:$H$997, Task_hours!$E$4:$E$997, R$2, Task_hours!$F$4:$F$997, $A7)</f>
        <v>0</v>
      </c>
      <c r="S7" s="14">
        <f>SUMIFS(Task_hours!$H$4:$H$997, Task_hours!$E$4:$E$997, R$2, Task_hours!$G$4:$G$997, $A7)</f>
        <v>0</v>
      </c>
      <c r="T7" s="14">
        <f>SUMIFS(Task_hours!$H$4:$H$997, Task_hours!$E$4:$E$997, T$2, Task_hours!$F$4:$F$997, $A7)</f>
        <v>2</v>
      </c>
      <c r="U7" s="14">
        <f>SUMIFS(Task_hours!$H$4:$H$997, Task_hours!$E$4:$E$997, T$2, Task_hours!$G$4:$G$997, $A7)</f>
        <v>0</v>
      </c>
      <c r="V7" s="14">
        <f>SUMIFS(Task_hours!$H$4:$H$997, Task_hours!$E$4:$E$997, V$2, Task_hours!$F$4:$F$997, $A7)</f>
        <v>3</v>
      </c>
      <c r="W7" s="14">
        <f>SUMIFS(Task_hours!$H$4:$H$997, Task_hours!$E$4:$E$997, V$2, Task_hours!$G$4:$G$997, $A7)</f>
        <v>2.5</v>
      </c>
      <c r="X7" s="14">
        <f>SUMIFS(Task_hours!$H$4:$H$997, Task_hours!$E$4:$E$997, X$2, Task_hours!$F$4:$F$997, $A7)</f>
        <v>0</v>
      </c>
      <c r="Y7" s="14">
        <f>SUMIFS(Task_hours!$H$4:$H$997, Task_hours!$E$4:$E$997, X$2, Task_hours!$G$4:$G$997, $A7)</f>
        <v>0</v>
      </c>
      <c r="Z7" s="14">
        <f>SUMIFS(Task_hours!$H$4:$H$997, Task_hours!$E$4:$E$997, Z$2, Task_hours!$F$4:$F$997, $A7)</f>
        <v>0</v>
      </c>
      <c r="AA7" s="14">
        <f>SUMIFS(Task_hours!$H$4:$H$997, Task_hours!$E$4:$E$997, Z$2, Task_hours!$G$4:$G$997, $A7)</f>
        <v>0</v>
      </c>
      <c r="AB7" s="14">
        <f>SUMIFS(Task_hours!$H$4:$H$997, Task_hours!$E$4:$E$997, AB$2, Task_hours!$F$4:$F$997, $A7)</f>
        <v>0</v>
      </c>
      <c r="AC7" s="14">
        <f>SUMIFS(Task_hours!$H$4:$H$997, Task_hours!$E$4:$E$997, AB$2, Task_hours!$G$4:$G$997, $A7)</f>
        <v>0</v>
      </c>
      <c r="AD7" s="14">
        <f>SUMIFS(Task_hours!$H$4:$H$997, Task_hours!$E$4:$E$997, AD$2, Task_hours!$F$4:$F$997, $A7)</f>
        <v>1</v>
      </c>
      <c r="AE7" s="14">
        <f>SUMIFS(Task_hours!$H$4:$H$997, Task_hours!$E$4:$E$997, AD$2, Task_hours!$G$4:$G$997, $A7)</f>
        <v>0.5</v>
      </c>
      <c r="AF7" s="14">
        <f>SUMIFS(Task_hours!$H$4:$H$997, Task_hours!$E$4:$E$997, AF$2, Task_hours!$F$4:$F$997, $A7)</f>
        <v>0</v>
      </c>
      <c r="AG7" s="14">
        <f>SUMIFS(Task_hours!$H$4:$H$997, Task_hours!$E$4:$E$997, AF$2, Task_hours!$G$4:$G$997, $A7)</f>
        <v>0</v>
      </c>
      <c r="AH7" s="14">
        <f>SUMIFS(Task_hours!$H$4:$H$997, Task_hours!$E$4:$E$997, AH$2, Task_hours!$F$4:$F$997, $A7)</f>
        <v>0.5</v>
      </c>
      <c r="AI7" s="14">
        <f>SUMIFS(Task_hours!$H$4:$H$997, Task_hours!$E$4:$E$997, AH$2, Task_hours!$G$4:$G$997, $A7)</f>
        <v>0</v>
      </c>
      <c r="AJ7" s="14">
        <f>SUMIFS(Task_hours!$H$4:$H$997, Task_hours!$E$4:$E$997, AJ$2, Task_hours!$F$4:$F$997, $A7)</f>
        <v>7</v>
      </c>
      <c r="AK7" s="14">
        <f>SUMIFS(Task_hours!$H$4:$H$997, Task_hours!$E$4:$E$997, AJ$2, Task_hours!$G$4:$G$997, $A7)</f>
        <v>4</v>
      </c>
      <c r="AL7" s="14">
        <f>SUMIFS(Task_hours!$H$4:$H$997, Task_hours!$E$4:$E$997, AL$2, Task_hours!$F$4:$F$997, $A7)</f>
        <v>0</v>
      </c>
      <c r="AM7" s="14">
        <f>SUMIFS(Task_hours!$H$4:$H$997, Task_hours!$E$4:$E$997, AL$2, Task_hours!$G$4:$G$997, $A7)</f>
        <v>0</v>
      </c>
      <c r="AN7" s="14">
        <f>SUMIFS(Task_hours!$H$4:$H$997, Task_hours!$E$4:$E$997, AN$2, Task_hours!$F$4:$F$997, $A7)</f>
        <v>0</v>
      </c>
      <c r="AO7" s="14">
        <f>SUMIFS(Task_hours!$H$4:$H$997, Task_hours!$E$4:$E$997, AN$2, Task_hours!$G$4:$G$997, $A7)</f>
        <v>0</v>
      </c>
      <c r="AP7" s="14">
        <f>SUMIFS(Task_hours!$H$4:$H$997, Task_hours!$E$4:$E$997, AP$2, Task_hours!$F$4:$F$997, $A7)</f>
        <v>0</v>
      </c>
      <c r="AQ7" s="14">
        <f>SUMIFS(Task_hours!$H$4:$H$997, Task_hours!$E$4:$E$997, AP$2, Task_hours!$G$4:$G$997, $A7)</f>
        <v>0</v>
      </c>
      <c r="AR7" s="14">
        <f>SUMIFS(Task_hours!$H$4:$H$997, Task_hours!$E$4:$E$997, AR$2, Task_hours!$F$4:$F$997, $A7)</f>
        <v>0</v>
      </c>
      <c r="AS7" s="14">
        <f>SUMIFS(Task_hours!$H$4:$H$997, Task_hours!$E$4:$E$997, AR$2, Task_hours!$G$4:$G$997, $A7)</f>
        <v>0</v>
      </c>
      <c r="AT7" s="14">
        <f>SUMIFS(Task_hours!$H$4:$H$997, Task_hours!$E$4:$E$997, AT$2, Task_hours!$F$4:$F$997, $A7)</f>
        <v>0</v>
      </c>
      <c r="AU7" s="14">
        <f>SUMIFS(Task_hours!$H$4:$H$997, Task_hours!$E$4:$E$997, AT$2, Task_hours!$G$4:$G$997, $A7)</f>
        <v>0</v>
      </c>
      <c r="AV7" s="14">
        <f>SUMIFS(Task_hours!$H$4:$H$997, Task_hours!$E$4:$E$997, AV$2, Task_hours!$F$4:$F$997, $A7)</f>
        <v>0</v>
      </c>
      <c r="AW7" s="14">
        <f>SUMIFS(Task_hours!$H$4:$H$997, Task_hours!$E$4:$E$997, AV$2, Task_hours!$G$4:$G$997, $A7)</f>
        <v>0</v>
      </c>
      <c r="AX7" s="14">
        <f>SUMIFS(Task_hours!$H$4:$H$997, Task_hours!$E$4:$E$997, AX$2, Task_hours!$F$4:$F$997, $A7)</f>
        <v>0</v>
      </c>
      <c r="AY7" s="14">
        <f>SUMIFS(Task_hours!$H$4:$H$997, Task_hours!$E$4:$E$997, AX$2, Task_hours!$G$4:$G$997, $A7)</f>
        <v>0</v>
      </c>
    </row>
    <row r="8" spans="1:51">
      <c r="A8" s="79" t="s">
        <v>45</v>
      </c>
      <c r="B8" s="14">
        <f>SUMIFS(Tasks!$H$3:$H1004, Tasks!$F$3:$F1004, $A8, Tasks!$B$3:$B1004, $A$1, Tasks!$K$3:$K1004, "Backlog")</f>
        <v>0</v>
      </c>
      <c r="C8" s="80">
        <f>SUMIFS(Tasks!$H$3:$H1004, Tasks!$G$3:$G1004, $A8, Tasks!$B$3:$B1004, $A$1, Tasks!$K$3:$K1004, "Backlog")</f>
        <v>0</v>
      </c>
      <c r="D8" s="14">
        <f>SUMIFS(Tasks!$H$3:$H1004, Tasks!$F$3:$F1004, $A8, Tasks!$B$3:$B1004, $A$1, Tasks!$K$3:$K1004, "Progress")-SUMIFS(Tasks!$I$3:$I1004, Tasks!$F$3:$F1004, $A8, Tasks!$B$3:$B1004, $A$1, Tasks!$K$3:$K1004, "Progress")</f>
        <v>0</v>
      </c>
      <c r="E8" s="80">
        <f>SUMIFS(Tasks!$H$3:$H1004, Tasks!$G$3:$G1004, $A8, Tasks!$B$3:$B1004, $A$1, Tasks!$K$3:$K1004, "Progress")-SUMIFS(Tasks!$I$3:$I1004, Tasks!$G$3:$G1004, $A8, Tasks!$B$3:$B1004, $A$1, Tasks!$K$3:$K1004, "Progress")</f>
        <v>0</v>
      </c>
      <c r="F8" s="14">
        <f t="shared" ref="F8:G8" si="8">H8+B8</f>
        <v>11.5</v>
      </c>
      <c r="G8" s="80">
        <f t="shared" si="8"/>
        <v>11</v>
      </c>
      <c r="H8" s="14">
        <f t="shared" ref="H8:I8" si="9">SUM(J8,L8,N8,P8,R8,T8,V8,X8,Z8,AB8,AD8,AF8,AH8,AJ8)</f>
        <v>11.5</v>
      </c>
      <c r="I8" s="81">
        <f t="shared" si="9"/>
        <v>11</v>
      </c>
      <c r="J8" s="14">
        <f>SUMIFS(Task_hours!$H$4:$H$997, Task_hours!$E$4:$E$997, J$2, Task_hours!$F$4:$F$997, $A8)</f>
        <v>0</v>
      </c>
      <c r="K8" s="14">
        <f>SUMIFS(Task_hours!$H$4:$H$997, Task_hours!$E$4:$E$997, J$2, Task_hours!$G$4:$G$997, $A8)</f>
        <v>0</v>
      </c>
      <c r="L8" s="14">
        <f>SUMIFS(Task_hours!$H$4:$H$997, Task_hours!$E$4:$E$997, L$2, Task_hours!$F$4:$F$997, $A8)</f>
        <v>0</v>
      </c>
      <c r="M8" s="14">
        <f>SUMIFS(Task_hours!$H$4:$H$997, Task_hours!$E$4:$E$997, L$2, Task_hours!$G$4:$G$997, $A8)</f>
        <v>0</v>
      </c>
      <c r="N8" s="14">
        <f>SUMIFS(Task_hours!$H$4:$H$997, Task_hours!$E$4:$E$997, N$2, Task_hours!$F$4:$F$997, $A8)</f>
        <v>2</v>
      </c>
      <c r="O8" s="14">
        <f>SUMIFS(Task_hours!$H$4:$H$997, Task_hours!$E$4:$E$997, N$2, Task_hours!$G$4:$G$997, $A8)</f>
        <v>2</v>
      </c>
      <c r="P8" s="14">
        <f>SUMIFS(Task_hours!$H$4:$H$997, Task_hours!$E$4:$E$997, P$2, Task_hours!$F$4:$F$997, $A8)</f>
        <v>0</v>
      </c>
      <c r="Q8" s="14">
        <f>SUMIFS(Task_hours!$H$4:$H$997, Task_hours!$E$4:$E$997, P$2, Task_hours!$G$4:$G$997, $A8)</f>
        <v>1</v>
      </c>
      <c r="R8" s="14">
        <f>SUMIFS(Task_hours!$H$4:$H$997, Task_hours!$E$4:$E$997, R$2, Task_hours!$F$4:$F$997, $A8)</f>
        <v>0</v>
      </c>
      <c r="S8" s="14">
        <f>SUMIFS(Task_hours!$H$4:$H$997, Task_hours!$E$4:$E$997, R$2, Task_hours!$G$4:$G$997, $A8)</f>
        <v>0</v>
      </c>
      <c r="T8" s="14">
        <f>SUMIFS(Task_hours!$H$4:$H$997, Task_hours!$E$4:$E$997, T$2, Task_hours!$F$4:$F$997, $A8)</f>
        <v>3.5</v>
      </c>
      <c r="U8" s="14">
        <f>SUMIFS(Task_hours!$H$4:$H$997, Task_hours!$E$4:$E$997, T$2, Task_hours!$G$4:$G$997, $A8)</f>
        <v>0</v>
      </c>
      <c r="V8" s="14">
        <f>SUMIFS(Task_hours!$H$4:$H$997, Task_hours!$E$4:$E$997, V$2, Task_hours!$F$4:$F$997, $A8)</f>
        <v>2</v>
      </c>
      <c r="W8" s="14">
        <f>SUMIFS(Task_hours!$H$4:$H$997, Task_hours!$E$4:$E$997, V$2, Task_hours!$G$4:$G$997, $A8)</f>
        <v>2</v>
      </c>
      <c r="X8" s="14">
        <f>SUMIFS(Task_hours!$H$4:$H$997, Task_hours!$E$4:$E$997, X$2, Task_hours!$F$4:$F$997, $A8)</f>
        <v>0</v>
      </c>
      <c r="Y8" s="14">
        <f>SUMIFS(Task_hours!$H$4:$H$997, Task_hours!$E$4:$E$997, X$2, Task_hours!$G$4:$G$997, $A8)</f>
        <v>0</v>
      </c>
      <c r="Z8" s="14">
        <f>SUMIFS(Task_hours!$H$4:$H$997, Task_hours!$E$4:$E$997, Z$2, Task_hours!$F$4:$F$997, $A8)</f>
        <v>0</v>
      </c>
      <c r="AA8" s="14">
        <f>SUMIFS(Task_hours!$H$4:$H$997, Task_hours!$E$4:$E$997, Z$2, Task_hours!$G$4:$G$997, $A8)</f>
        <v>0</v>
      </c>
      <c r="AB8" s="14">
        <f>SUMIFS(Task_hours!$H$4:$H$997, Task_hours!$E$4:$E$997, AB$2, Task_hours!$F$4:$F$997, $A8)</f>
        <v>0</v>
      </c>
      <c r="AC8" s="14">
        <f>SUMIFS(Task_hours!$H$4:$H$997, Task_hours!$E$4:$E$997, AB$2, Task_hours!$G$4:$G$997, $A8)</f>
        <v>3.5</v>
      </c>
      <c r="AD8" s="14">
        <f>SUMIFS(Task_hours!$H$4:$H$997, Task_hours!$E$4:$E$997, AD$2, Task_hours!$F$4:$F$997, $A8)</f>
        <v>0.5</v>
      </c>
      <c r="AE8" s="14">
        <f>SUMIFS(Task_hours!$H$4:$H$997, Task_hours!$E$4:$E$997, AD$2, Task_hours!$G$4:$G$997, $A8)</f>
        <v>1</v>
      </c>
      <c r="AF8" s="14">
        <f>SUMIFS(Task_hours!$H$4:$H$997, Task_hours!$E$4:$E$997, AF$2, Task_hours!$F$4:$F$997, $A8)</f>
        <v>0</v>
      </c>
      <c r="AG8" s="14">
        <f>SUMIFS(Task_hours!$H$4:$H$997, Task_hours!$E$4:$E$997, AF$2, Task_hours!$G$4:$G$997, $A8)</f>
        <v>0</v>
      </c>
      <c r="AH8" s="14">
        <f>SUMIFS(Task_hours!$H$4:$H$997, Task_hours!$E$4:$E$997, AH$2, Task_hours!$F$4:$F$997, $A8)</f>
        <v>0</v>
      </c>
      <c r="AI8" s="14">
        <f>SUMIFS(Task_hours!$H$4:$H$997, Task_hours!$E$4:$E$997, AH$2, Task_hours!$G$4:$G$997, $A8)</f>
        <v>0</v>
      </c>
      <c r="AJ8" s="14">
        <f>SUMIFS(Task_hours!$H$4:$H$997, Task_hours!$E$4:$E$997, AJ$2, Task_hours!$F$4:$F$997, $A8)</f>
        <v>3.5</v>
      </c>
      <c r="AK8" s="14">
        <f>SUMIFS(Task_hours!$H$4:$H$997, Task_hours!$E$4:$E$997, AJ$2, Task_hours!$G$4:$G$997, $A8)</f>
        <v>1.5</v>
      </c>
      <c r="AL8" s="14">
        <f>SUMIFS(Task_hours!$H$4:$H$997, Task_hours!$E$4:$E$997, AL$2, Task_hours!$F$4:$F$997, $A8)</f>
        <v>0</v>
      </c>
      <c r="AM8" s="14">
        <f>SUMIFS(Task_hours!$H$4:$H$997, Task_hours!$E$4:$E$997, AL$2, Task_hours!$G$4:$G$997, $A8)</f>
        <v>0</v>
      </c>
      <c r="AN8" s="14">
        <f>SUMIFS(Task_hours!$H$4:$H$997, Task_hours!$E$4:$E$997, AN$2, Task_hours!$F$4:$F$997, $A8)</f>
        <v>0</v>
      </c>
      <c r="AO8" s="14">
        <f>SUMIFS(Task_hours!$H$4:$H$997, Task_hours!$E$4:$E$997, AN$2, Task_hours!$G$4:$G$997, $A8)</f>
        <v>0</v>
      </c>
      <c r="AP8" s="14">
        <f>SUMIFS(Task_hours!$H$4:$H$997, Task_hours!$E$4:$E$997, AP$2, Task_hours!$F$4:$F$997, $A8)</f>
        <v>0</v>
      </c>
      <c r="AQ8" s="14">
        <f>SUMIFS(Task_hours!$H$4:$H$997, Task_hours!$E$4:$E$997, AP$2, Task_hours!$G$4:$G$997, $A8)</f>
        <v>0</v>
      </c>
      <c r="AR8" s="14">
        <f>SUMIFS(Task_hours!$H$4:$H$997, Task_hours!$E$4:$E$997, AR$2, Task_hours!$F$4:$F$997, $A8)</f>
        <v>0</v>
      </c>
      <c r="AS8" s="14">
        <f>SUMIFS(Task_hours!$H$4:$H$997, Task_hours!$E$4:$E$997, AR$2, Task_hours!$G$4:$G$997, $A8)</f>
        <v>0</v>
      </c>
      <c r="AT8" s="14">
        <f>SUMIFS(Task_hours!$H$4:$H$997, Task_hours!$E$4:$E$997, AT$2, Task_hours!$F$4:$F$997, $A8)</f>
        <v>0</v>
      </c>
      <c r="AU8" s="14">
        <f>SUMIFS(Task_hours!$H$4:$H$997, Task_hours!$E$4:$E$997, AT$2, Task_hours!$G$4:$G$997, $A8)</f>
        <v>0</v>
      </c>
      <c r="AV8" s="14">
        <f>SUMIFS(Task_hours!$H$4:$H$997, Task_hours!$E$4:$E$997, AV$2, Task_hours!$F$4:$F$997, $A8)</f>
        <v>0</v>
      </c>
      <c r="AW8" s="14">
        <f>SUMIFS(Task_hours!$H$4:$H$997, Task_hours!$E$4:$E$997, AV$2, Task_hours!$G$4:$G$997, $A8)</f>
        <v>0</v>
      </c>
      <c r="AX8" s="14">
        <f>SUMIFS(Task_hours!$H$4:$H$997, Task_hours!$E$4:$E$997, AX$2, Task_hours!$F$4:$F$997, $A8)</f>
        <v>0</v>
      </c>
      <c r="AY8" s="14">
        <f>SUMIFS(Task_hours!$H$4:$H$997, Task_hours!$E$4:$E$997, AX$2, Task_hours!$G$4:$G$997, $A8)</f>
        <v>0</v>
      </c>
    </row>
    <row r="9" spans="1:51">
      <c r="A9" s="79" t="s">
        <v>70</v>
      </c>
      <c r="B9" s="14">
        <f>SUMIFS(Tasks!$H$3:$H1004, Tasks!$F$3:$F1004, $A9, Tasks!$B$3:$B1004, $A$1, Tasks!$K$3:$K1004, "Backlog")</f>
        <v>0</v>
      </c>
      <c r="C9" s="80">
        <f>SUMIFS(Tasks!$H$3:$H1004, Tasks!$G$3:$G1004, $A9, Tasks!$B$3:$B1004, $A$1, Tasks!$K$3:$K1004, "Backlog")</f>
        <v>0</v>
      </c>
      <c r="D9" s="14">
        <f>SUMIFS(Tasks!$H$3:$H1004, Tasks!$F$3:$F1004, $A9, Tasks!$B$3:$B1004, $A$1, Tasks!$K$3:$K1004, "Progress")-SUMIFS(Tasks!$I$3:$I1004, Tasks!$F$3:$F1004, $A9, Tasks!$B$3:$B1004, $A$1, Tasks!$K$3:$K1004, "Progress")</f>
        <v>0</v>
      </c>
      <c r="E9" s="80">
        <f>SUMIFS(Tasks!$H$3:$H1004, Tasks!$G$3:$G1004, $A9, Tasks!$B$3:$B1004, $A$1, Tasks!$K$3:$K1004, "Progress")-SUMIFS(Tasks!$I$3:$I1004, Tasks!$G$3:$G1004, $A9, Tasks!$B$3:$B1004, $A$1, Tasks!$K$3:$K1004, "Progress")</f>
        <v>0</v>
      </c>
      <c r="F9" s="14">
        <f t="shared" ref="F9:G9" si="10">H9+B9</f>
        <v>10</v>
      </c>
      <c r="G9" s="80">
        <f t="shared" si="10"/>
        <v>7.5</v>
      </c>
      <c r="H9" s="14">
        <f t="shared" ref="H9:I9" si="11">SUM(J9,L9,N9,P9,R9,T9,V9,X9,Z9,AB9,AD9,AF9,AH9,AJ9)</f>
        <v>10</v>
      </c>
      <c r="I9" s="81">
        <f t="shared" si="11"/>
        <v>7.5</v>
      </c>
      <c r="J9" s="14">
        <f>SUMIFS(Task_hours!$H$4:$H$997, Task_hours!$E$4:$E$997, J$2, Task_hours!$F$4:$F$997, $A9)</f>
        <v>0</v>
      </c>
      <c r="K9" s="14">
        <f>SUMIFS(Task_hours!$H$4:$H$997, Task_hours!$E$4:$E$997, J$2, Task_hours!$G$4:$G$997, $A9)</f>
        <v>0</v>
      </c>
      <c r="L9" s="14">
        <f>SUMIFS(Task_hours!$H$4:$H$997, Task_hours!$E$4:$E$997, L$2, Task_hours!$F$4:$F$997, $A9)</f>
        <v>0</v>
      </c>
      <c r="M9" s="14">
        <f>SUMIFS(Task_hours!$H$4:$H$997, Task_hours!$E$4:$E$997, L$2, Task_hours!$G$4:$G$997, $A9)</f>
        <v>0</v>
      </c>
      <c r="N9" s="14">
        <f>SUMIFS(Task_hours!$H$4:$H$997, Task_hours!$E$4:$E$997, N$2, Task_hours!$F$4:$F$997, $A9)</f>
        <v>0</v>
      </c>
      <c r="O9" s="14">
        <f>SUMIFS(Task_hours!$H$4:$H$997, Task_hours!$E$4:$E$997, N$2, Task_hours!$G$4:$G$997, $A9)</f>
        <v>0</v>
      </c>
      <c r="P9" s="14">
        <f>SUMIFS(Task_hours!$H$4:$H$997, Task_hours!$E$4:$E$997, P$2, Task_hours!$F$4:$F$997, $A9)</f>
        <v>0</v>
      </c>
      <c r="Q9" s="14">
        <f>SUMIFS(Task_hours!$H$4:$H$997, Task_hours!$E$4:$E$997, P$2, Task_hours!$G$4:$G$997, $A9)</f>
        <v>0</v>
      </c>
      <c r="R9" s="14">
        <f>SUMIFS(Task_hours!$H$4:$H$997, Task_hours!$E$4:$E$997, R$2, Task_hours!$F$4:$F$997, $A9)</f>
        <v>0</v>
      </c>
      <c r="S9" s="14">
        <f>SUMIFS(Task_hours!$H$4:$H$997, Task_hours!$E$4:$E$997, R$2, Task_hours!$G$4:$G$997, $A9)</f>
        <v>0</v>
      </c>
      <c r="T9" s="14">
        <f>SUMIFS(Task_hours!$H$4:$H$997, Task_hours!$E$4:$E$997, T$2, Task_hours!$F$4:$F$997, $A9)</f>
        <v>6</v>
      </c>
      <c r="U9" s="14">
        <f>SUMIFS(Task_hours!$H$4:$H$997, Task_hours!$E$4:$E$997, T$2, Task_hours!$G$4:$G$997, $A9)</f>
        <v>0</v>
      </c>
      <c r="V9" s="14">
        <f>SUMIFS(Task_hours!$H$4:$H$997, Task_hours!$E$4:$E$997, V$2, Task_hours!$F$4:$F$997, $A9)</f>
        <v>4</v>
      </c>
      <c r="W9" s="14">
        <f>SUMIFS(Task_hours!$H$4:$H$997, Task_hours!$E$4:$E$997, V$2, Task_hours!$G$4:$G$997, $A9)</f>
        <v>0</v>
      </c>
      <c r="X9" s="14">
        <f>SUMIFS(Task_hours!$H$4:$H$997, Task_hours!$E$4:$E$997, X$2, Task_hours!$F$4:$F$997, $A9)</f>
        <v>0</v>
      </c>
      <c r="Y9" s="14">
        <f>SUMIFS(Task_hours!$H$4:$H$997, Task_hours!$E$4:$E$997, X$2, Task_hours!$G$4:$G$997, $A9)</f>
        <v>2.5</v>
      </c>
      <c r="Z9" s="14">
        <f>SUMIFS(Task_hours!$H$4:$H$997, Task_hours!$E$4:$E$997, Z$2, Task_hours!$F$4:$F$997, $A9)</f>
        <v>0</v>
      </c>
      <c r="AA9" s="14">
        <f>SUMIFS(Task_hours!$H$4:$H$997, Task_hours!$E$4:$E$997, Z$2, Task_hours!$G$4:$G$997, $A9)</f>
        <v>1.5</v>
      </c>
      <c r="AB9" s="14">
        <f>SUMIFS(Task_hours!$H$4:$H$997, Task_hours!$E$4:$E$997, AB$2, Task_hours!$F$4:$F$997, $A9)</f>
        <v>0</v>
      </c>
      <c r="AC9" s="14">
        <f>SUMIFS(Task_hours!$H$4:$H$997, Task_hours!$E$4:$E$997, AB$2, Task_hours!$G$4:$G$997, $A9)</f>
        <v>0</v>
      </c>
      <c r="AD9" s="14">
        <f>SUMIFS(Task_hours!$H$4:$H$997, Task_hours!$E$4:$E$997, AD$2, Task_hours!$F$4:$F$997, $A9)</f>
        <v>0</v>
      </c>
      <c r="AE9" s="14">
        <f>SUMIFS(Task_hours!$H$4:$H$997, Task_hours!$E$4:$E$997, AD$2, Task_hours!$G$4:$G$997, $A9)</f>
        <v>0</v>
      </c>
      <c r="AF9" s="14">
        <f>SUMIFS(Task_hours!$H$4:$H$997, Task_hours!$E$4:$E$997, AF$2, Task_hours!$F$4:$F$997, $A9)</f>
        <v>0</v>
      </c>
      <c r="AG9" s="14">
        <f>SUMIFS(Task_hours!$H$4:$H$997, Task_hours!$E$4:$E$997, AF$2, Task_hours!$G$4:$G$997, $A9)</f>
        <v>0</v>
      </c>
      <c r="AH9" s="14">
        <f>SUMIFS(Task_hours!$H$4:$H$997, Task_hours!$E$4:$E$997, AH$2, Task_hours!$F$4:$F$997, $A9)</f>
        <v>0</v>
      </c>
      <c r="AI9" s="14">
        <f>SUMIFS(Task_hours!$H$4:$H$997, Task_hours!$E$4:$E$997, AH$2, Task_hours!$G$4:$G$997, $A9)</f>
        <v>0</v>
      </c>
      <c r="AJ9" s="14">
        <f>SUMIFS(Task_hours!$H$4:$H$997, Task_hours!$E$4:$E$997, AJ$2, Task_hours!$F$4:$F$997, $A9)</f>
        <v>0</v>
      </c>
      <c r="AK9" s="14">
        <f>SUMIFS(Task_hours!$H$4:$H$997, Task_hours!$E$4:$E$997, AJ$2, Task_hours!$G$4:$G$997, $A9)</f>
        <v>3.5</v>
      </c>
      <c r="AL9" s="14">
        <f>SUMIFS(Task_hours!$H$4:$H$997, Task_hours!$E$4:$E$997, AL$2, Task_hours!$F$4:$F$997, $A9)</f>
        <v>0</v>
      </c>
      <c r="AM9" s="14">
        <f>SUMIFS(Task_hours!$H$4:$H$997, Task_hours!$E$4:$E$997, AL$2, Task_hours!$G$4:$G$997, $A9)</f>
        <v>0</v>
      </c>
      <c r="AN9" s="14">
        <f>SUMIFS(Task_hours!$H$4:$H$997, Task_hours!$E$4:$E$997, AN$2, Task_hours!$F$4:$F$997, $A9)</f>
        <v>0</v>
      </c>
      <c r="AO9" s="14">
        <f>SUMIFS(Task_hours!$H$4:$H$997, Task_hours!$E$4:$E$997, AN$2, Task_hours!$G$4:$G$997, $A9)</f>
        <v>0</v>
      </c>
      <c r="AP9" s="14">
        <f>SUMIFS(Task_hours!$H$4:$H$997, Task_hours!$E$4:$E$997, AP$2, Task_hours!$F$4:$F$997, $A9)</f>
        <v>0</v>
      </c>
      <c r="AQ9" s="14">
        <f>SUMIFS(Task_hours!$H$4:$H$997, Task_hours!$E$4:$E$997, AP$2, Task_hours!$G$4:$G$997, $A9)</f>
        <v>0</v>
      </c>
      <c r="AR9" s="14">
        <f>SUMIFS(Task_hours!$H$4:$H$997, Task_hours!$E$4:$E$997, AR$2, Task_hours!$F$4:$F$997, $A9)</f>
        <v>0</v>
      </c>
      <c r="AS9" s="14">
        <f>SUMIFS(Task_hours!$H$4:$H$997, Task_hours!$E$4:$E$997, AR$2, Task_hours!$G$4:$G$997, $A9)</f>
        <v>0</v>
      </c>
      <c r="AT9" s="14">
        <f>SUMIFS(Task_hours!$H$4:$H$997, Task_hours!$E$4:$E$997, AT$2, Task_hours!$F$4:$F$997, $A9)</f>
        <v>0</v>
      </c>
      <c r="AU9" s="14">
        <f>SUMIFS(Task_hours!$H$4:$H$997, Task_hours!$E$4:$E$997, AT$2, Task_hours!$G$4:$G$997, $A9)</f>
        <v>0</v>
      </c>
      <c r="AV9" s="14">
        <f>SUMIFS(Task_hours!$H$4:$H$997, Task_hours!$E$4:$E$997, AV$2, Task_hours!$F$4:$F$997, $A9)</f>
        <v>0</v>
      </c>
      <c r="AW9" s="14">
        <f>SUMIFS(Task_hours!$H$4:$H$997, Task_hours!$E$4:$E$997, AV$2, Task_hours!$G$4:$G$997, $A9)</f>
        <v>0</v>
      </c>
      <c r="AX9" s="14">
        <f>SUMIFS(Task_hours!$H$4:$H$997, Task_hours!$E$4:$E$997, AX$2, Task_hours!$F$4:$F$997, $A9)</f>
        <v>0</v>
      </c>
      <c r="AY9" s="14">
        <f>SUMIFS(Task_hours!$H$4:$H$997, Task_hours!$E$4:$E$997, AX$2, Task_hours!$G$4:$G$997, $A9)</f>
        <v>0</v>
      </c>
    </row>
    <row r="10" spans="1:51">
      <c r="A10" s="79" t="s">
        <v>52</v>
      </c>
      <c r="B10" s="14">
        <f>SUMIFS(Tasks!$H$3:$H1004, Tasks!$F$3:$F1004, $A10, Tasks!$B$3:$B1004, $A$1, Tasks!$K$3:$K1004, "Backlog")</f>
        <v>0</v>
      </c>
      <c r="C10" s="80">
        <f>SUMIFS(Tasks!$H$3:$H1004, Tasks!$G$3:$G1004, $A10, Tasks!$B$3:$B1004, $A$1, Tasks!$K$3:$K1004, "Backlog")</f>
        <v>0</v>
      </c>
      <c r="D10" s="14">
        <f>SUMIFS(Tasks!$H$3:$H1004, Tasks!$F$3:$F1004, $A10, Tasks!$B$3:$B1004, $A$1, Tasks!$K$3:$K1004, "Progress")-SUMIFS(Tasks!$I$3:$I1004, Tasks!$F$3:$F1004, $A10, Tasks!$B$3:$B1004, $A$1, Tasks!$K$3:$K1004, "Progress")</f>
        <v>0</v>
      </c>
      <c r="E10" s="80">
        <f>SUMIFS(Tasks!$H$3:$H1004, Tasks!$G$3:$G1004, $A10, Tasks!$B$3:$B1004, $A$1, Tasks!$K$3:$K1004, "Progress")-SUMIFS(Tasks!$I$3:$I1004, Tasks!$G$3:$G1004, $A10, Tasks!$B$3:$B1004, $A$1, Tasks!$K$3:$K1004, "Progress")</f>
        <v>0</v>
      </c>
      <c r="F10" s="14">
        <f t="shared" ref="F10:G10" si="12">H10+B10</f>
        <v>16.5</v>
      </c>
      <c r="G10" s="80">
        <f t="shared" si="12"/>
        <v>13</v>
      </c>
      <c r="H10" s="14">
        <f t="shared" ref="H10:I10" si="13">SUM(J10,L10,N10,P10,R10,T10,V10,X10,Z10,AB10,AD10,AF10,AH10,AJ10)</f>
        <v>16.5</v>
      </c>
      <c r="I10" s="81">
        <f t="shared" si="13"/>
        <v>13</v>
      </c>
      <c r="J10" s="14">
        <f>SUMIFS(Task_hours!$H$4:$H$997, Task_hours!$E$4:$E$997, J$2, Task_hours!$F$4:$F$997, $A10)</f>
        <v>0</v>
      </c>
      <c r="K10" s="14">
        <f>SUMIFS(Task_hours!$H$4:$H$997, Task_hours!$E$4:$E$997, J$2, Task_hours!$G$4:$G$997, $A10)</f>
        <v>0</v>
      </c>
      <c r="L10" s="14">
        <f>SUMIFS(Task_hours!$H$4:$H$997, Task_hours!$E$4:$E$997, L$2, Task_hours!$F$4:$F$997, $A10)</f>
        <v>0</v>
      </c>
      <c r="M10" s="14">
        <f>SUMIFS(Task_hours!$H$4:$H$997, Task_hours!$E$4:$E$997, L$2, Task_hours!$G$4:$G$997, $A10)</f>
        <v>0</v>
      </c>
      <c r="N10" s="14">
        <f>SUMIFS(Task_hours!$H$4:$H$997, Task_hours!$E$4:$E$997, N$2, Task_hours!$F$4:$F$997, $A10)</f>
        <v>0</v>
      </c>
      <c r="O10" s="14">
        <f>SUMIFS(Task_hours!$H$4:$H$997, Task_hours!$E$4:$E$997, N$2, Task_hours!$G$4:$G$997, $A10)</f>
        <v>0</v>
      </c>
      <c r="P10" s="14">
        <f>SUMIFS(Task_hours!$H$4:$H$997, Task_hours!$E$4:$E$997, P$2, Task_hours!$F$4:$F$997, $A10)</f>
        <v>2.5</v>
      </c>
      <c r="Q10" s="14">
        <f>SUMIFS(Task_hours!$H$4:$H$997, Task_hours!$E$4:$E$997, P$2, Task_hours!$G$4:$G$997, $A10)</f>
        <v>0</v>
      </c>
      <c r="R10" s="14">
        <f>SUMIFS(Task_hours!$H$4:$H$997, Task_hours!$E$4:$E$997, R$2, Task_hours!$F$4:$F$997, $A10)</f>
        <v>0</v>
      </c>
      <c r="S10" s="14">
        <f>SUMIFS(Task_hours!$H$4:$H$997, Task_hours!$E$4:$E$997, R$2, Task_hours!$G$4:$G$997, $A10)</f>
        <v>0</v>
      </c>
      <c r="T10" s="14">
        <f>SUMIFS(Task_hours!$H$4:$H$997, Task_hours!$E$4:$E$997, T$2, Task_hours!$F$4:$F$997, $A10)</f>
        <v>0</v>
      </c>
      <c r="U10" s="14">
        <f>SUMIFS(Task_hours!$H$4:$H$997, Task_hours!$E$4:$E$997, T$2, Task_hours!$G$4:$G$997, $A10)</f>
        <v>6</v>
      </c>
      <c r="V10" s="14">
        <f>SUMIFS(Task_hours!$H$4:$H$997, Task_hours!$E$4:$E$997, V$2, Task_hours!$F$4:$F$997, $A10)</f>
        <v>0</v>
      </c>
      <c r="W10" s="14">
        <f>SUMIFS(Task_hours!$H$4:$H$997, Task_hours!$E$4:$E$997, V$2, Task_hours!$G$4:$G$997, $A10)</f>
        <v>4</v>
      </c>
      <c r="X10" s="14">
        <f>SUMIFS(Task_hours!$H$4:$H$997, Task_hours!$E$4:$E$997, X$2, Task_hours!$F$4:$F$997, $A10)</f>
        <v>2.5</v>
      </c>
      <c r="Y10" s="14">
        <f>SUMIFS(Task_hours!$H$4:$H$997, Task_hours!$E$4:$E$997, X$2, Task_hours!$G$4:$G$997, $A10)</f>
        <v>0</v>
      </c>
      <c r="Z10" s="14">
        <f>SUMIFS(Task_hours!$H$4:$H$997, Task_hours!$E$4:$E$997, Z$2, Task_hours!$F$4:$F$997, $A10)</f>
        <v>1.5</v>
      </c>
      <c r="AA10" s="14">
        <f>SUMIFS(Task_hours!$H$4:$H$997, Task_hours!$E$4:$E$997, Z$2, Task_hours!$G$4:$G$997, $A10)</f>
        <v>0</v>
      </c>
      <c r="AB10" s="14">
        <f>SUMIFS(Task_hours!$H$4:$H$997, Task_hours!$E$4:$E$997, AB$2, Task_hours!$F$4:$F$997, $A10)</f>
        <v>0</v>
      </c>
      <c r="AC10" s="14">
        <f>SUMIFS(Task_hours!$H$4:$H$997, Task_hours!$E$4:$E$997, AB$2, Task_hours!$G$4:$G$997, $A10)</f>
        <v>0</v>
      </c>
      <c r="AD10" s="14">
        <f>SUMIFS(Task_hours!$H$4:$H$997, Task_hours!$E$4:$E$997, AD$2, Task_hours!$F$4:$F$997, $A10)</f>
        <v>0</v>
      </c>
      <c r="AE10" s="14">
        <f>SUMIFS(Task_hours!$H$4:$H$997, Task_hours!$E$4:$E$997, AD$2, Task_hours!$G$4:$G$997, $A10)</f>
        <v>0</v>
      </c>
      <c r="AF10" s="14">
        <f>SUMIFS(Task_hours!$H$4:$H$997, Task_hours!$E$4:$E$997, AF$2, Task_hours!$F$4:$F$997, $A10)</f>
        <v>0</v>
      </c>
      <c r="AG10" s="14">
        <f>SUMIFS(Task_hours!$H$4:$H$997, Task_hours!$E$4:$E$997, AF$2, Task_hours!$G$4:$G$997, $A10)</f>
        <v>0</v>
      </c>
      <c r="AH10" s="14">
        <f>SUMIFS(Task_hours!$H$4:$H$997, Task_hours!$E$4:$E$997, AH$2, Task_hours!$F$4:$F$997, $A10)</f>
        <v>0</v>
      </c>
      <c r="AI10" s="14">
        <f>SUMIFS(Task_hours!$H$4:$H$997, Task_hours!$E$4:$E$997, AH$2, Task_hours!$G$4:$G$997, $A10)</f>
        <v>0</v>
      </c>
      <c r="AJ10" s="14">
        <f>SUMIFS(Task_hours!$H$4:$H$997, Task_hours!$E$4:$E$997, AJ$2, Task_hours!$F$4:$F$997, $A10)</f>
        <v>10</v>
      </c>
      <c r="AK10" s="14">
        <f>SUMIFS(Task_hours!$H$4:$H$997, Task_hours!$E$4:$E$997, AJ$2, Task_hours!$G$4:$G$997, $A10)</f>
        <v>3</v>
      </c>
      <c r="AL10" s="14">
        <f>SUMIFS(Task_hours!$H$4:$H$997, Task_hours!$E$4:$E$997, AL$2, Task_hours!$F$4:$F$997, $A10)</f>
        <v>0</v>
      </c>
      <c r="AM10" s="14">
        <f>SUMIFS(Task_hours!$H$4:$H$997, Task_hours!$E$4:$E$997, AL$2, Task_hours!$G$4:$G$997, $A10)</f>
        <v>0</v>
      </c>
      <c r="AN10" s="14">
        <f>SUMIFS(Task_hours!$H$4:$H$997, Task_hours!$E$4:$E$997, AN$2, Task_hours!$F$4:$F$997, $A10)</f>
        <v>0</v>
      </c>
      <c r="AO10" s="14">
        <f>SUMIFS(Task_hours!$H$4:$H$997, Task_hours!$E$4:$E$997, AN$2, Task_hours!$G$4:$G$997, $A10)</f>
        <v>0</v>
      </c>
      <c r="AP10" s="14">
        <f>SUMIFS(Task_hours!$H$4:$H$997, Task_hours!$E$4:$E$997, AP$2, Task_hours!$F$4:$F$997, $A10)</f>
        <v>0</v>
      </c>
      <c r="AQ10" s="14">
        <f>SUMIFS(Task_hours!$H$4:$H$997, Task_hours!$E$4:$E$997, AP$2, Task_hours!$G$4:$G$997, $A10)</f>
        <v>0</v>
      </c>
      <c r="AR10" s="14">
        <f>SUMIFS(Task_hours!$H$4:$H$997, Task_hours!$E$4:$E$997, AR$2, Task_hours!$F$4:$F$997, $A10)</f>
        <v>0</v>
      </c>
      <c r="AS10" s="14">
        <f>SUMIFS(Task_hours!$H$4:$H$997, Task_hours!$E$4:$E$997, AR$2, Task_hours!$G$4:$G$997, $A10)</f>
        <v>0</v>
      </c>
      <c r="AT10" s="14">
        <f>SUMIFS(Task_hours!$H$4:$H$997, Task_hours!$E$4:$E$997, AT$2, Task_hours!$F$4:$F$997, $A10)</f>
        <v>0</v>
      </c>
      <c r="AU10" s="14">
        <f>SUMIFS(Task_hours!$H$4:$H$997, Task_hours!$E$4:$E$997, AT$2, Task_hours!$G$4:$G$997, $A10)</f>
        <v>0</v>
      </c>
      <c r="AV10" s="14">
        <f>SUMIFS(Task_hours!$H$4:$H$997, Task_hours!$E$4:$E$997, AV$2, Task_hours!$F$4:$F$997, $A10)</f>
        <v>0</v>
      </c>
      <c r="AW10" s="14">
        <f>SUMIFS(Task_hours!$H$4:$H$997, Task_hours!$E$4:$E$997, AV$2, Task_hours!$G$4:$G$997, $A10)</f>
        <v>0</v>
      </c>
      <c r="AX10" s="14">
        <f>SUMIFS(Task_hours!$H$4:$H$997, Task_hours!$E$4:$E$997, AX$2, Task_hours!$F$4:$F$997, $A10)</f>
        <v>0</v>
      </c>
      <c r="AY10" s="14">
        <f>SUMIFS(Task_hours!$H$4:$H$997, Task_hours!$E$4:$E$997, AX$2, Task_hours!$G$4:$G$997, $A10)</f>
        <v>0</v>
      </c>
    </row>
    <row r="11" spans="1:51">
      <c r="A11" s="79" t="s">
        <v>46</v>
      </c>
      <c r="B11" s="14">
        <f>SUMIFS(Tasks!$H$3:$H1004, Tasks!$F$3:$F1004, $A11, Tasks!$B$3:$B1004, $A$1, Tasks!$K$3:$K1004, "Backlog")</f>
        <v>0</v>
      </c>
      <c r="C11" s="80">
        <f>SUMIFS(Tasks!$H$3:$H1004, Tasks!$G$3:$G1004, $A11, Tasks!$B$3:$B1004, $A$1, Tasks!$K$3:$K1004, "Backlog")</f>
        <v>0</v>
      </c>
      <c r="D11" s="14">
        <f>SUMIFS(Tasks!$H$3:$H1004, Tasks!$F$3:$F1004, $A11, Tasks!$B$3:$B1004, $A$1, Tasks!$K$3:$K1004, "Progress")-SUMIFS(Tasks!$I$3:$I1004, Tasks!$F$3:$F1004, $A11, Tasks!$B$3:$B1004, $A$1, Tasks!$K$3:$K1004, "Progress")</f>
        <v>0</v>
      </c>
      <c r="E11" s="80">
        <f>SUMIFS(Tasks!$H$3:$H1004, Tasks!$G$3:$G1004, $A11, Tasks!$B$3:$B1004, $A$1, Tasks!$K$3:$K1004, "Progress")-SUMIFS(Tasks!$I$3:$I1004, Tasks!$G$3:$G1004, $A11, Tasks!$B$3:$B1004, $A$1, Tasks!$K$3:$K1004, "Progress")</f>
        <v>0</v>
      </c>
      <c r="F11" s="14">
        <f t="shared" ref="F11:G11" si="14">H11+B11</f>
        <v>5.5</v>
      </c>
      <c r="G11" s="80">
        <f t="shared" si="14"/>
        <v>6.5</v>
      </c>
      <c r="H11" s="14">
        <f t="shared" ref="H11:I11" si="15">SUM(J11,L11,N11,P11,R11,T11,V11,X11,Z11,AB11,AD11,AF11,AH11,AJ11)</f>
        <v>5.5</v>
      </c>
      <c r="I11" s="81">
        <f t="shared" si="15"/>
        <v>6.5</v>
      </c>
      <c r="J11" s="14">
        <f>SUMIFS(Task_hours!$H$4:$H$997, Task_hours!$E$4:$E$997, J$2, Task_hours!$F$4:$F$997, $A11)</f>
        <v>0</v>
      </c>
      <c r="K11" s="14">
        <f>SUMIFS(Task_hours!$H$4:$H$997, Task_hours!$E$4:$E$997, J$2, Task_hours!$G$4:$G$997, $A11)</f>
        <v>0</v>
      </c>
      <c r="L11" s="14">
        <f>SUMIFS(Task_hours!$H$4:$H$997, Task_hours!$E$4:$E$997, L$2, Task_hours!$F$4:$F$997, $A11)</f>
        <v>0</v>
      </c>
      <c r="M11" s="14">
        <f>SUMIFS(Task_hours!$H$4:$H$997, Task_hours!$E$4:$E$997, L$2, Task_hours!$G$4:$G$997, $A11)</f>
        <v>0</v>
      </c>
      <c r="N11" s="14">
        <f>SUMIFS(Task_hours!$H$4:$H$997, Task_hours!$E$4:$E$997, N$2, Task_hours!$F$4:$F$997, $A11)</f>
        <v>1</v>
      </c>
      <c r="O11" s="14">
        <f>SUMIFS(Task_hours!$H$4:$H$997, Task_hours!$E$4:$E$997, N$2, Task_hours!$G$4:$G$997, $A11)</f>
        <v>1</v>
      </c>
      <c r="P11" s="14">
        <f>SUMIFS(Task_hours!$H$4:$H$997, Task_hours!$E$4:$E$997, P$2, Task_hours!$F$4:$F$997, $A11)</f>
        <v>1</v>
      </c>
      <c r="Q11" s="14">
        <f>SUMIFS(Task_hours!$H$4:$H$997, Task_hours!$E$4:$E$997, P$2, Task_hours!$G$4:$G$997, $A11)</f>
        <v>0</v>
      </c>
      <c r="R11" s="14">
        <f>SUMIFS(Task_hours!$H$4:$H$997, Task_hours!$E$4:$E$997, R$2, Task_hours!$F$4:$F$997, $A11)</f>
        <v>0</v>
      </c>
      <c r="S11" s="14">
        <f>SUMIFS(Task_hours!$H$4:$H$997, Task_hours!$E$4:$E$997, R$2, Task_hours!$G$4:$G$997, $A11)</f>
        <v>0</v>
      </c>
      <c r="T11" s="14">
        <f>SUMIFS(Task_hours!$H$4:$H$997, Task_hours!$E$4:$E$997, T$2, Task_hours!$F$4:$F$997, $A11)</f>
        <v>0</v>
      </c>
      <c r="U11" s="14">
        <f>SUMIFS(Task_hours!$H$4:$H$997, Task_hours!$E$4:$E$997, T$2, Task_hours!$G$4:$G$997, $A11)</f>
        <v>3.5</v>
      </c>
      <c r="V11" s="14">
        <f>SUMIFS(Task_hours!$H$4:$H$997, Task_hours!$E$4:$E$997, V$2, Task_hours!$F$4:$F$997, $A11)</f>
        <v>0</v>
      </c>
      <c r="W11" s="14">
        <f>SUMIFS(Task_hours!$H$4:$H$997, Task_hours!$E$4:$E$997, V$2, Task_hours!$G$4:$G$997, $A11)</f>
        <v>2</v>
      </c>
      <c r="X11" s="14">
        <f>SUMIFS(Task_hours!$H$4:$H$997, Task_hours!$E$4:$E$997, X$2, Task_hours!$F$4:$F$997, $A11)</f>
        <v>0</v>
      </c>
      <c r="Y11" s="14">
        <f>SUMIFS(Task_hours!$H$4:$H$997, Task_hours!$E$4:$E$997, X$2, Task_hours!$G$4:$G$997, $A11)</f>
        <v>0</v>
      </c>
      <c r="Z11" s="14">
        <f>SUMIFS(Task_hours!$H$4:$H$997, Task_hours!$E$4:$E$997, Z$2, Task_hours!$F$4:$F$997, $A11)</f>
        <v>0</v>
      </c>
      <c r="AA11" s="14">
        <f>SUMIFS(Task_hours!$H$4:$H$997, Task_hours!$E$4:$E$997, Z$2, Task_hours!$G$4:$G$997, $A11)</f>
        <v>0</v>
      </c>
      <c r="AB11" s="14">
        <f>SUMIFS(Task_hours!$H$4:$H$997, Task_hours!$E$4:$E$997, AB$2, Task_hours!$F$4:$F$997, $A11)</f>
        <v>3.5</v>
      </c>
      <c r="AC11" s="14">
        <f>SUMIFS(Task_hours!$H$4:$H$997, Task_hours!$E$4:$E$997, AB$2, Task_hours!$G$4:$G$997, $A11)</f>
        <v>0</v>
      </c>
      <c r="AD11" s="14">
        <f>SUMIFS(Task_hours!$H$4:$H$997, Task_hours!$E$4:$E$997, AD$2, Task_hours!$F$4:$F$997, $A11)</f>
        <v>0</v>
      </c>
      <c r="AE11" s="14">
        <f>SUMIFS(Task_hours!$H$4:$H$997, Task_hours!$E$4:$E$997, AD$2, Task_hours!$G$4:$G$997, $A11)</f>
        <v>0</v>
      </c>
      <c r="AF11" s="14">
        <f>SUMIFS(Task_hours!$H$4:$H$997, Task_hours!$E$4:$E$997, AF$2, Task_hours!$F$4:$F$997, $A11)</f>
        <v>0</v>
      </c>
      <c r="AG11" s="14">
        <f>SUMIFS(Task_hours!$H$4:$H$997, Task_hours!$E$4:$E$997, AF$2, Task_hours!$G$4:$G$997, $A11)</f>
        <v>0</v>
      </c>
      <c r="AH11" s="14">
        <f>SUMIFS(Task_hours!$H$4:$H$997, Task_hours!$E$4:$E$997, AH$2, Task_hours!$F$4:$F$997, $A11)</f>
        <v>0</v>
      </c>
      <c r="AI11" s="14">
        <f>SUMIFS(Task_hours!$H$4:$H$997, Task_hours!$E$4:$E$997, AH$2, Task_hours!$G$4:$G$997, $A11)</f>
        <v>0</v>
      </c>
      <c r="AJ11" s="14">
        <f>SUMIFS(Task_hours!$H$4:$H$997, Task_hours!$E$4:$E$997, AJ$2, Task_hours!$F$4:$F$997, $A11)</f>
        <v>0</v>
      </c>
      <c r="AK11" s="14">
        <f>SUMIFS(Task_hours!$H$4:$H$997, Task_hours!$E$4:$E$997, AJ$2, Task_hours!$G$4:$G$997, $A11)</f>
        <v>0</v>
      </c>
      <c r="AL11" s="14">
        <f>SUMIFS(Task_hours!$H$4:$H$997, Task_hours!$E$4:$E$997, AL$2, Task_hours!$F$4:$F$997, $A11)</f>
        <v>0</v>
      </c>
      <c r="AM11" s="14">
        <f>SUMIFS(Task_hours!$H$4:$H$997, Task_hours!$E$4:$E$997, AL$2, Task_hours!$G$4:$G$997, $A11)</f>
        <v>0</v>
      </c>
      <c r="AN11" s="14">
        <f>SUMIFS(Task_hours!$H$4:$H$997, Task_hours!$E$4:$E$997, AN$2, Task_hours!$F$4:$F$997, $A11)</f>
        <v>0</v>
      </c>
      <c r="AO11" s="14">
        <f>SUMIFS(Task_hours!$H$4:$H$997, Task_hours!$E$4:$E$997, AN$2, Task_hours!$G$4:$G$997, $A11)</f>
        <v>0</v>
      </c>
      <c r="AP11" s="14">
        <f>SUMIFS(Task_hours!$H$4:$H$997, Task_hours!$E$4:$E$997, AP$2, Task_hours!$F$4:$F$997, $A11)</f>
        <v>0</v>
      </c>
      <c r="AQ11" s="14">
        <f>SUMIFS(Task_hours!$H$4:$H$997, Task_hours!$E$4:$E$997, AP$2, Task_hours!$G$4:$G$997, $A11)</f>
        <v>0</v>
      </c>
      <c r="AR11" s="14">
        <f>SUMIFS(Task_hours!$H$4:$H$997, Task_hours!$E$4:$E$997, AR$2, Task_hours!$F$4:$F$997, $A11)</f>
        <v>0</v>
      </c>
      <c r="AS11" s="14">
        <f>SUMIFS(Task_hours!$H$4:$H$997, Task_hours!$E$4:$E$997, AR$2, Task_hours!$G$4:$G$997, $A11)</f>
        <v>0</v>
      </c>
      <c r="AT11" s="14">
        <f>SUMIFS(Task_hours!$H$4:$H$997, Task_hours!$E$4:$E$997, AT$2, Task_hours!$F$4:$F$997, $A11)</f>
        <v>0</v>
      </c>
      <c r="AU11" s="14">
        <f>SUMIFS(Task_hours!$H$4:$H$997, Task_hours!$E$4:$E$997, AT$2, Task_hours!$G$4:$G$997, $A11)</f>
        <v>0</v>
      </c>
      <c r="AV11" s="14">
        <f>SUMIFS(Task_hours!$H$4:$H$997, Task_hours!$E$4:$E$997, AV$2, Task_hours!$F$4:$F$997, $A11)</f>
        <v>0</v>
      </c>
      <c r="AW11" s="14">
        <f>SUMIFS(Task_hours!$H$4:$H$997, Task_hours!$E$4:$E$997, AV$2, Task_hours!$G$4:$G$997, $A11)</f>
        <v>0</v>
      </c>
      <c r="AX11" s="14">
        <f>SUMIFS(Task_hours!$H$4:$H$997, Task_hours!$E$4:$E$997, AX$2, Task_hours!$F$4:$F$997, $A11)</f>
        <v>0</v>
      </c>
      <c r="AY11" s="14">
        <f>SUMIFS(Task_hours!$H$4:$H$997, Task_hours!$E$4:$E$997, AX$2, Task_hours!$G$4:$G$997, $A11)</f>
        <v>0</v>
      </c>
    </row>
    <row r="12" spans="1:51">
      <c r="A12" s="79" t="s">
        <v>63</v>
      </c>
      <c r="B12" s="14">
        <f>SUMIFS(Tasks!$H$3:$H1004, Tasks!$F$3:$F1004, $A12, Tasks!$B$3:$B1004, $A$1, Tasks!$K$3:$K1004, "Backlog")</f>
        <v>0</v>
      </c>
      <c r="C12" s="80">
        <f>SUMIFS(Tasks!$H$3:$H1004, Tasks!$G$3:$G1004, $A12, Tasks!$B$3:$B1004, $A$1, Tasks!$K$3:$K1004, "Backlog")</f>
        <v>0</v>
      </c>
      <c r="D12" s="14">
        <f>SUMIFS(Tasks!$H$3:$H1004, Tasks!$F$3:$F1004, $A12, Tasks!$B$3:$B1004, $A$1, Tasks!$K$3:$K1004, "Progress")-SUMIFS(Tasks!$I$3:$I1004, Tasks!$F$3:$F1004, $A12, Tasks!$B$3:$B1004, $A$1, Tasks!$K$3:$K1004, "Progress")</f>
        <v>0</v>
      </c>
      <c r="E12" s="80">
        <f>SUMIFS(Tasks!$H$3:$H1004, Tasks!$G$3:$G1004, $A12, Tasks!$B$3:$B1004, $A$1, Tasks!$K$3:$K1004, "Progress")-SUMIFS(Tasks!$I$3:$I1004, Tasks!$G$3:$G1004, $A12, Tasks!$B$3:$B1004, $A$1, Tasks!$K$3:$K1004, "Progress")</f>
        <v>0</v>
      </c>
      <c r="F12" s="14">
        <f t="shared" ref="F12:G12" si="16">H12+B12</f>
        <v>5</v>
      </c>
      <c r="G12" s="80">
        <f t="shared" si="16"/>
        <v>8.5</v>
      </c>
      <c r="H12" s="14">
        <f t="shared" ref="H12:I12" si="17">SUM(J12,L12,N12,P12,R12,T12,V12,X12,Z12,AB12,AD12,AF12,AH12,AJ12)</f>
        <v>5</v>
      </c>
      <c r="I12" s="81">
        <f t="shared" si="17"/>
        <v>8.5</v>
      </c>
      <c r="J12" s="14">
        <f>SUMIFS(Task_hours!$H$4:$H$997, Task_hours!$E$4:$E$997, J$2, Task_hours!$F$4:$F$997, $A12)</f>
        <v>0</v>
      </c>
      <c r="K12" s="14">
        <f>SUMIFS(Task_hours!$H$4:$H$997, Task_hours!$E$4:$E$997, J$2, Task_hours!$G$4:$G$997, $A12)</f>
        <v>0</v>
      </c>
      <c r="L12" s="14">
        <f>SUMIFS(Task_hours!$H$4:$H$997, Task_hours!$E$4:$E$997, L$2, Task_hours!$F$4:$F$997, $A12)</f>
        <v>0</v>
      </c>
      <c r="M12" s="14">
        <f>SUMIFS(Task_hours!$H$4:$H$997, Task_hours!$E$4:$E$997, L$2, Task_hours!$G$4:$G$997, $A12)</f>
        <v>0</v>
      </c>
      <c r="N12" s="14">
        <f>SUMIFS(Task_hours!$H$4:$H$997, Task_hours!$E$4:$E$997, N$2, Task_hours!$F$4:$F$997, $A12)</f>
        <v>0</v>
      </c>
      <c r="O12" s="14">
        <f>SUMIFS(Task_hours!$H$4:$H$997, Task_hours!$E$4:$E$997, N$2, Task_hours!$G$4:$G$997, $A12)</f>
        <v>0</v>
      </c>
      <c r="P12" s="14">
        <f>SUMIFS(Task_hours!$H$4:$H$997, Task_hours!$E$4:$E$997, P$2, Task_hours!$F$4:$F$997, $A12)</f>
        <v>0.5</v>
      </c>
      <c r="Q12" s="14">
        <f>SUMIFS(Task_hours!$H$4:$H$997, Task_hours!$E$4:$E$997, P$2, Task_hours!$G$4:$G$997, $A12)</f>
        <v>0</v>
      </c>
      <c r="R12" s="14">
        <f>SUMIFS(Task_hours!$H$4:$H$997, Task_hours!$E$4:$E$997, R$2, Task_hours!$F$4:$F$997, $A12)</f>
        <v>0</v>
      </c>
      <c r="S12" s="14">
        <f>SUMIFS(Task_hours!$H$4:$H$997, Task_hours!$E$4:$E$997, R$2, Task_hours!$G$4:$G$997, $A12)</f>
        <v>0</v>
      </c>
      <c r="T12" s="14">
        <f>SUMIFS(Task_hours!$H$4:$H$997, Task_hours!$E$4:$E$997, T$2, Task_hours!$F$4:$F$997, $A12)</f>
        <v>0</v>
      </c>
      <c r="U12" s="14">
        <f>SUMIFS(Task_hours!$H$4:$H$997, Task_hours!$E$4:$E$997, T$2, Task_hours!$G$4:$G$997, $A12)</f>
        <v>0</v>
      </c>
      <c r="V12" s="14">
        <f>SUMIFS(Task_hours!$H$4:$H$997, Task_hours!$E$4:$E$997, V$2, Task_hours!$F$4:$F$997, $A12)</f>
        <v>2.5</v>
      </c>
      <c r="W12" s="14">
        <f>SUMIFS(Task_hours!$H$4:$H$997, Task_hours!$E$4:$E$997, V$2, Task_hours!$G$4:$G$997, $A12)</f>
        <v>0</v>
      </c>
      <c r="X12" s="14">
        <f>SUMIFS(Task_hours!$H$4:$H$997, Task_hours!$E$4:$E$997, X$2, Task_hours!$F$4:$F$997, $A12)</f>
        <v>0</v>
      </c>
      <c r="Y12" s="14">
        <f>SUMIFS(Task_hours!$H$4:$H$997, Task_hours!$E$4:$E$997, X$2, Task_hours!$G$4:$G$997, $A12)</f>
        <v>0</v>
      </c>
      <c r="Z12" s="14">
        <f>SUMIFS(Task_hours!$H$4:$H$997, Task_hours!$E$4:$E$997, Z$2, Task_hours!$F$4:$F$997, $A12)</f>
        <v>0</v>
      </c>
      <c r="AA12" s="14">
        <f>SUMIFS(Task_hours!$H$4:$H$997, Task_hours!$E$4:$E$997, Z$2, Task_hours!$G$4:$G$997, $A12)</f>
        <v>0</v>
      </c>
      <c r="AB12" s="14">
        <f>SUMIFS(Task_hours!$H$4:$H$997, Task_hours!$E$4:$E$997, AB$2, Task_hours!$F$4:$F$997, $A12)</f>
        <v>0</v>
      </c>
      <c r="AC12" s="14">
        <f>SUMIFS(Task_hours!$H$4:$H$997, Task_hours!$E$4:$E$997, AB$2, Task_hours!$G$4:$G$997, $A12)</f>
        <v>0</v>
      </c>
      <c r="AD12" s="14">
        <f>SUMIFS(Task_hours!$H$4:$H$997, Task_hours!$E$4:$E$997, AD$2, Task_hours!$F$4:$F$997, $A12)</f>
        <v>0</v>
      </c>
      <c r="AE12" s="14">
        <f>SUMIFS(Task_hours!$H$4:$H$997, Task_hours!$E$4:$E$997, AD$2, Task_hours!$G$4:$G$997, $A12)</f>
        <v>0</v>
      </c>
      <c r="AF12" s="14">
        <f>SUMIFS(Task_hours!$H$4:$H$997, Task_hours!$E$4:$E$997, AF$2, Task_hours!$F$4:$F$997, $A12)</f>
        <v>0</v>
      </c>
      <c r="AG12" s="14">
        <f>SUMIFS(Task_hours!$H$4:$H$997, Task_hours!$E$4:$E$997, AF$2, Task_hours!$G$4:$G$997, $A12)</f>
        <v>0</v>
      </c>
      <c r="AH12" s="14">
        <f>SUMIFS(Task_hours!$H$4:$H$997, Task_hours!$E$4:$E$997, AH$2, Task_hours!$F$4:$F$997, $A12)</f>
        <v>0</v>
      </c>
      <c r="AI12" s="14">
        <f>SUMIFS(Task_hours!$H$4:$H$997, Task_hours!$E$4:$E$997, AH$2, Task_hours!$G$4:$G$997, $A12)</f>
        <v>0</v>
      </c>
      <c r="AJ12" s="14">
        <f>SUMIFS(Task_hours!$H$4:$H$997, Task_hours!$E$4:$E$997, AJ$2, Task_hours!$F$4:$F$997, $A12)</f>
        <v>2</v>
      </c>
      <c r="AK12" s="14">
        <f>SUMIFS(Task_hours!$H$4:$H$997, Task_hours!$E$4:$E$997, AJ$2, Task_hours!$G$4:$G$997, $A12)</f>
        <v>8.5</v>
      </c>
      <c r="AL12" s="14">
        <f>SUMIFS(Task_hours!$H$4:$H$997, Task_hours!$E$4:$E$997, AL$2, Task_hours!$F$4:$F$997, $A12)</f>
        <v>0</v>
      </c>
      <c r="AM12" s="14">
        <f>SUMIFS(Task_hours!$H$4:$H$997, Task_hours!$E$4:$E$997, AL$2, Task_hours!$G$4:$G$997, $A12)</f>
        <v>0</v>
      </c>
      <c r="AN12" s="14">
        <f>SUMIFS(Task_hours!$H$4:$H$997, Task_hours!$E$4:$E$997, AN$2, Task_hours!$F$4:$F$997, $A12)</f>
        <v>0</v>
      </c>
      <c r="AO12" s="14">
        <f>SUMIFS(Task_hours!$H$4:$H$997, Task_hours!$E$4:$E$997, AN$2, Task_hours!$G$4:$G$997, $A12)</f>
        <v>0</v>
      </c>
      <c r="AP12" s="14">
        <f>SUMIFS(Task_hours!$H$4:$H$997, Task_hours!$E$4:$E$997, AP$2, Task_hours!$F$4:$F$997, $A12)</f>
        <v>0</v>
      </c>
      <c r="AQ12" s="14">
        <f>SUMIFS(Task_hours!$H$4:$H$997, Task_hours!$E$4:$E$997, AP$2, Task_hours!$G$4:$G$997, $A12)</f>
        <v>0</v>
      </c>
      <c r="AR12" s="14">
        <f>SUMIFS(Task_hours!$H$4:$H$997, Task_hours!$E$4:$E$997, AR$2, Task_hours!$F$4:$F$997, $A12)</f>
        <v>0</v>
      </c>
      <c r="AS12" s="14">
        <f>SUMIFS(Task_hours!$H$4:$H$997, Task_hours!$E$4:$E$997, AR$2, Task_hours!$G$4:$G$997, $A12)</f>
        <v>0</v>
      </c>
      <c r="AT12" s="14">
        <f>SUMIFS(Task_hours!$H$4:$H$997, Task_hours!$E$4:$E$997, AT$2, Task_hours!$F$4:$F$997, $A12)</f>
        <v>0</v>
      </c>
      <c r="AU12" s="14">
        <f>SUMIFS(Task_hours!$H$4:$H$997, Task_hours!$E$4:$E$997, AT$2, Task_hours!$G$4:$G$997, $A12)</f>
        <v>0</v>
      </c>
      <c r="AV12" s="14">
        <f>SUMIFS(Task_hours!$H$4:$H$997, Task_hours!$E$4:$E$997, AV$2, Task_hours!$F$4:$F$997, $A12)</f>
        <v>0</v>
      </c>
      <c r="AW12" s="14">
        <f>SUMIFS(Task_hours!$H$4:$H$997, Task_hours!$E$4:$E$997, AV$2, Task_hours!$G$4:$G$997, $A12)</f>
        <v>0</v>
      </c>
      <c r="AX12" s="14">
        <f>SUMIFS(Task_hours!$H$4:$H$997, Task_hours!$E$4:$E$997, AX$2, Task_hours!$F$4:$F$997, $A12)</f>
        <v>0</v>
      </c>
      <c r="AY12" s="14">
        <f>SUMIFS(Task_hours!$H$4:$H$997, Task_hours!$E$4:$E$997, AX$2, Task_hours!$G$4:$G$997, $A12)</f>
        <v>0</v>
      </c>
    </row>
    <row r="13" spans="1:51">
      <c r="A13" s="79" t="s">
        <v>59</v>
      </c>
      <c r="B13" s="14">
        <f>SUMIFS(Tasks!$H$3:$H1004, Tasks!$F$3:$F1004, $A13, Tasks!$B$3:$B1004, $A$1, Tasks!$K$3:$K1004, "Backlog")</f>
        <v>0</v>
      </c>
      <c r="C13" s="80">
        <f>SUMIFS(Tasks!$H$3:$H1004, Tasks!$G$3:$G1004, $A13, Tasks!$B$3:$B1004, $A$1, Tasks!$K$3:$K1004, "Backlog")</f>
        <v>0</v>
      </c>
      <c r="D13" s="14">
        <f>SUMIFS(Tasks!$H$3:$H1004, Tasks!$F$3:$F1004, $A13, Tasks!$B$3:$B1004, $A$1, Tasks!$K$3:$K1004, "Progress")-SUMIFS(Tasks!$I$3:$I1004, Tasks!$F$3:$F1004, $A13, Tasks!$B$3:$B1004, $A$1, Tasks!$K$3:$K1004, "Progress")</f>
        <v>0</v>
      </c>
      <c r="E13" s="80">
        <f>SUMIFS(Tasks!$H$3:$H1004, Tasks!$G$3:$G1004, $A13, Tasks!$B$3:$B1004, $A$1, Tasks!$K$3:$K1004, "Progress")-SUMIFS(Tasks!$I$3:$I1004, Tasks!$G$3:$G1004, $A13, Tasks!$B$3:$B1004, $A$1, Tasks!$K$3:$K1004, "Progress")</f>
        <v>0</v>
      </c>
      <c r="F13" s="14">
        <f t="shared" ref="F13:G13" si="18">H13+B13</f>
        <v>4.5</v>
      </c>
      <c r="G13" s="80">
        <f t="shared" si="18"/>
        <v>3</v>
      </c>
      <c r="H13" s="14">
        <f t="shared" ref="H13:I13" si="19">SUM(J13,L13,N13,P13,R13,T13,V13,X13,Z13,AB13,AD13,AF13,AH13,AJ13)</f>
        <v>4.5</v>
      </c>
      <c r="I13" s="81">
        <f t="shared" si="19"/>
        <v>3</v>
      </c>
      <c r="J13" s="14">
        <f>SUMIFS(Task_hours!$H$4:$H$997, Task_hours!$E$4:$E$997, J$2, Task_hours!$F$4:$F$997, $A13)</f>
        <v>0</v>
      </c>
      <c r="K13" s="14">
        <f>SUMIFS(Task_hours!$H$4:$H$997, Task_hours!$E$4:$E$997, J$2, Task_hours!$G$4:$G$997, $A13)</f>
        <v>0</v>
      </c>
      <c r="L13" s="14">
        <f>SUMIFS(Task_hours!$H$4:$H$997, Task_hours!$E$4:$E$997, L$2, Task_hours!$F$4:$F$997, $A13)</f>
        <v>0</v>
      </c>
      <c r="M13" s="14">
        <f>SUMIFS(Task_hours!$H$4:$H$997, Task_hours!$E$4:$E$997, L$2, Task_hours!$G$4:$G$997, $A13)</f>
        <v>0</v>
      </c>
      <c r="N13" s="14">
        <f>SUMIFS(Task_hours!$H$4:$H$997, Task_hours!$E$4:$E$997, N$2, Task_hours!$F$4:$F$997, $A13)</f>
        <v>0</v>
      </c>
      <c r="O13" s="14">
        <f>SUMIFS(Task_hours!$H$4:$H$997, Task_hours!$E$4:$E$997, N$2, Task_hours!$G$4:$G$997, $A13)</f>
        <v>0</v>
      </c>
      <c r="P13" s="14">
        <f>SUMIFS(Task_hours!$H$4:$H$997, Task_hours!$E$4:$E$997, P$2, Task_hours!$F$4:$F$997, $A13)</f>
        <v>0</v>
      </c>
      <c r="Q13" s="14">
        <f>SUMIFS(Task_hours!$H$4:$H$997, Task_hours!$E$4:$E$997, P$2, Task_hours!$G$4:$G$997, $A13)</f>
        <v>0</v>
      </c>
      <c r="R13" s="14">
        <f>SUMIFS(Task_hours!$H$4:$H$997, Task_hours!$E$4:$E$997, R$2, Task_hours!$F$4:$F$997, $A13)</f>
        <v>0</v>
      </c>
      <c r="S13" s="14">
        <f>SUMIFS(Task_hours!$H$4:$H$997, Task_hours!$E$4:$E$997, R$2, Task_hours!$G$4:$G$997, $A13)</f>
        <v>0</v>
      </c>
      <c r="T13" s="14">
        <f>SUMIFS(Task_hours!$H$4:$H$997, Task_hours!$E$4:$E$997, T$2, Task_hours!$F$4:$F$997, $A13)</f>
        <v>0</v>
      </c>
      <c r="U13" s="14">
        <f>SUMIFS(Task_hours!$H$4:$H$997, Task_hours!$E$4:$E$997, T$2, Task_hours!$G$4:$G$997, $A13)</f>
        <v>2</v>
      </c>
      <c r="V13" s="14">
        <f>SUMIFS(Task_hours!$H$4:$H$997, Task_hours!$E$4:$E$997, V$2, Task_hours!$F$4:$F$997, $A13)</f>
        <v>0</v>
      </c>
      <c r="W13" s="14">
        <f>SUMIFS(Task_hours!$H$4:$H$997, Task_hours!$E$4:$E$997, V$2, Task_hours!$G$4:$G$997, $A13)</f>
        <v>1</v>
      </c>
      <c r="X13" s="14">
        <f>SUMIFS(Task_hours!$H$4:$H$997, Task_hours!$E$4:$E$997, X$2, Task_hours!$F$4:$F$997, $A13)</f>
        <v>0</v>
      </c>
      <c r="Y13" s="14">
        <f>SUMIFS(Task_hours!$H$4:$H$997, Task_hours!$E$4:$E$997, X$2, Task_hours!$G$4:$G$997, $A13)</f>
        <v>0</v>
      </c>
      <c r="Z13" s="14">
        <f>SUMIFS(Task_hours!$H$4:$H$997, Task_hours!$E$4:$E$997, Z$2, Task_hours!$F$4:$F$997, $A13)</f>
        <v>0</v>
      </c>
      <c r="AA13" s="14">
        <f>SUMIFS(Task_hours!$H$4:$H$997, Task_hours!$E$4:$E$997, Z$2, Task_hours!$G$4:$G$997, $A13)</f>
        <v>0</v>
      </c>
      <c r="AB13" s="14">
        <f>SUMIFS(Task_hours!$H$4:$H$997, Task_hours!$E$4:$E$997, AB$2, Task_hours!$F$4:$F$997, $A13)</f>
        <v>0</v>
      </c>
      <c r="AC13" s="14">
        <f>SUMIFS(Task_hours!$H$4:$H$997, Task_hours!$E$4:$E$997, AB$2, Task_hours!$G$4:$G$997, $A13)</f>
        <v>0</v>
      </c>
      <c r="AD13" s="14">
        <f>SUMIFS(Task_hours!$H$4:$H$997, Task_hours!$E$4:$E$997, AD$2, Task_hours!$F$4:$F$997, $A13)</f>
        <v>0</v>
      </c>
      <c r="AE13" s="14">
        <f>SUMIFS(Task_hours!$H$4:$H$997, Task_hours!$E$4:$E$997, AD$2, Task_hours!$G$4:$G$997, $A13)</f>
        <v>0</v>
      </c>
      <c r="AF13" s="14">
        <f>SUMIFS(Task_hours!$H$4:$H$997, Task_hours!$E$4:$E$997, AF$2, Task_hours!$F$4:$F$997, $A13)</f>
        <v>0</v>
      </c>
      <c r="AG13" s="14">
        <f>SUMIFS(Task_hours!$H$4:$H$997, Task_hours!$E$4:$E$997, AF$2, Task_hours!$G$4:$G$997, $A13)</f>
        <v>0</v>
      </c>
      <c r="AH13" s="14">
        <f>SUMIFS(Task_hours!$H$4:$H$997, Task_hours!$E$4:$E$997, AH$2, Task_hours!$F$4:$F$997, $A13)</f>
        <v>0</v>
      </c>
      <c r="AI13" s="14">
        <f>SUMIFS(Task_hours!$H$4:$H$997, Task_hours!$E$4:$E$997, AH$2, Task_hours!$G$4:$G$997, $A13)</f>
        <v>0</v>
      </c>
      <c r="AJ13" s="14">
        <f>SUMIFS(Task_hours!$H$4:$H$997, Task_hours!$E$4:$E$997, AJ$2, Task_hours!$F$4:$F$997, $A13)</f>
        <v>4.5</v>
      </c>
      <c r="AK13" s="14">
        <f>SUMIFS(Task_hours!$H$4:$H$997, Task_hours!$E$4:$E$997, AJ$2, Task_hours!$G$4:$G$997, $A13)</f>
        <v>0</v>
      </c>
      <c r="AL13" s="14">
        <f>SUMIFS(Task_hours!$H$4:$H$997, Task_hours!$E$4:$E$997, AL$2, Task_hours!$F$4:$F$997, $A13)</f>
        <v>0</v>
      </c>
      <c r="AM13" s="14">
        <f>SUMIFS(Task_hours!$H$4:$H$997, Task_hours!$E$4:$E$997, AL$2, Task_hours!$G$4:$G$997, $A13)</f>
        <v>0</v>
      </c>
      <c r="AN13" s="14">
        <f>SUMIFS(Task_hours!$H$4:$H$997, Task_hours!$E$4:$E$997, AN$2, Task_hours!$F$4:$F$997, $A13)</f>
        <v>0</v>
      </c>
      <c r="AO13" s="14">
        <f>SUMIFS(Task_hours!$H$4:$H$997, Task_hours!$E$4:$E$997, AN$2, Task_hours!$G$4:$G$997, $A13)</f>
        <v>0</v>
      </c>
      <c r="AP13" s="14">
        <f>SUMIFS(Task_hours!$H$4:$H$997, Task_hours!$E$4:$E$997, AP$2, Task_hours!$F$4:$F$997, $A13)</f>
        <v>0</v>
      </c>
      <c r="AQ13" s="14">
        <f>SUMIFS(Task_hours!$H$4:$H$997, Task_hours!$E$4:$E$997, AP$2, Task_hours!$G$4:$G$997, $A13)</f>
        <v>0</v>
      </c>
      <c r="AR13" s="14">
        <f>SUMIFS(Task_hours!$H$4:$H$997, Task_hours!$E$4:$E$997, AR$2, Task_hours!$F$4:$F$997, $A13)</f>
        <v>0</v>
      </c>
      <c r="AS13" s="14">
        <f>SUMIFS(Task_hours!$H$4:$H$997, Task_hours!$E$4:$E$997, AR$2, Task_hours!$G$4:$G$997, $A13)</f>
        <v>0</v>
      </c>
      <c r="AT13" s="14">
        <f>SUMIFS(Task_hours!$H$4:$H$997, Task_hours!$E$4:$E$997, AT$2, Task_hours!$F$4:$F$997, $A13)</f>
        <v>0</v>
      </c>
      <c r="AU13" s="14">
        <f>SUMIFS(Task_hours!$H$4:$H$997, Task_hours!$E$4:$E$997, AT$2, Task_hours!$G$4:$G$997, $A13)</f>
        <v>0</v>
      </c>
      <c r="AV13" s="14">
        <f>SUMIFS(Task_hours!$H$4:$H$997, Task_hours!$E$4:$E$997, AV$2, Task_hours!$F$4:$F$997, $A13)</f>
        <v>0</v>
      </c>
      <c r="AW13" s="14">
        <f>SUMIFS(Task_hours!$H$4:$H$997, Task_hours!$E$4:$E$997, AV$2, Task_hours!$G$4:$G$997, $A13)</f>
        <v>0</v>
      </c>
      <c r="AX13" s="14">
        <f>SUMIFS(Task_hours!$H$4:$H$997, Task_hours!$E$4:$E$997, AX$2, Task_hours!$F$4:$F$997, $A13)</f>
        <v>0</v>
      </c>
      <c r="AY13" s="14">
        <f>SUMIFS(Task_hours!$H$4:$H$997, Task_hours!$E$4:$E$997, AX$2, Task_hours!$G$4:$G$997, $A13)</f>
        <v>0</v>
      </c>
    </row>
    <row r="14" spans="1:51">
      <c r="A14" s="82" t="s">
        <v>459</v>
      </c>
      <c r="B14" s="83">
        <f t="shared" ref="B14:AY14" si="20">SUM(B4:B13)</f>
        <v>0</v>
      </c>
      <c r="C14" s="84">
        <f t="shared" si="20"/>
        <v>0</v>
      </c>
      <c r="D14" s="83">
        <f t="shared" si="20"/>
        <v>0</v>
      </c>
      <c r="E14" s="84">
        <f t="shared" si="20"/>
        <v>0</v>
      </c>
      <c r="F14" s="83">
        <f t="shared" si="20"/>
        <v>91</v>
      </c>
      <c r="G14" s="84">
        <f t="shared" si="20"/>
        <v>86</v>
      </c>
      <c r="H14" s="83">
        <f t="shared" si="20"/>
        <v>91</v>
      </c>
      <c r="I14" s="83">
        <f t="shared" si="20"/>
        <v>86</v>
      </c>
      <c r="J14" s="83">
        <f t="shared" si="20"/>
        <v>0</v>
      </c>
      <c r="K14" s="83">
        <f t="shared" si="20"/>
        <v>0</v>
      </c>
      <c r="L14" s="83">
        <f t="shared" si="20"/>
        <v>0</v>
      </c>
      <c r="M14" s="83">
        <f t="shared" si="20"/>
        <v>0</v>
      </c>
      <c r="N14" s="83">
        <f t="shared" si="20"/>
        <v>4</v>
      </c>
      <c r="O14" s="83">
        <f t="shared" si="20"/>
        <v>4</v>
      </c>
      <c r="P14" s="83">
        <f t="shared" si="20"/>
        <v>5</v>
      </c>
      <c r="Q14" s="83">
        <f t="shared" si="20"/>
        <v>5</v>
      </c>
      <c r="R14" s="83">
        <f t="shared" si="20"/>
        <v>0</v>
      </c>
      <c r="S14" s="83">
        <f t="shared" si="20"/>
        <v>0</v>
      </c>
      <c r="T14" s="83">
        <f t="shared" si="20"/>
        <v>15.5</v>
      </c>
      <c r="U14" s="83">
        <f t="shared" si="20"/>
        <v>15.5</v>
      </c>
      <c r="V14" s="83">
        <f t="shared" si="20"/>
        <v>14.5</v>
      </c>
      <c r="W14" s="83">
        <f t="shared" si="20"/>
        <v>14.5</v>
      </c>
      <c r="X14" s="83">
        <f t="shared" si="20"/>
        <v>2.5</v>
      </c>
      <c r="Y14" s="83">
        <f t="shared" si="20"/>
        <v>2.5</v>
      </c>
      <c r="Z14" s="83">
        <f t="shared" si="20"/>
        <v>1.5</v>
      </c>
      <c r="AA14" s="83">
        <f t="shared" si="20"/>
        <v>1.5</v>
      </c>
      <c r="AB14" s="83">
        <f t="shared" si="20"/>
        <v>3.5</v>
      </c>
      <c r="AC14" s="83">
        <f t="shared" si="20"/>
        <v>3.5</v>
      </c>
      <c r="AD14" s="83">
        <f t="shared" si="20"/>
        <v>1.5</v>
      </c>
      <c r="AE14" s="83">
        <f t="shared" si="20"/>
        <v>1.5</v>
      </c>
      <c r="AF14" s="83">
        <f t="shared" si="20"/>
        <v>0</v>
      </c>
      <c r="AG14" s="83">
        <f t="shared" si="20"/>
        <v>0</v>
      </c>
      <c r="AH14" s="83">
        <f t="shared" si="20"/>
        <v>8.5</v>
      </c>
      <c r="AI14" s="83">
        <f t="shared" si="20"/>
        <v>8.5</v>
      </c>
      <c r="AJ14" s="83">
        <f t="shared" si="20"/>
        <v>34.5</v>
      </c>
      <c r="AK14" s="83">
        <f t="shared" si="20"/>
        <v>29.5</v>
      </c>
      <c r="AL14" s="83">
        <f t="shared" si="20"/>
        <v>0</v>
      </c>
      <c r="AM14" s="83">
        <f t="shared" si="20"/>
        <v>0</v>
      </c>
      <c r="AN14" s="83">
        <f t="shared" si="20"/>
        <v>0</v>
      </c>
      <c r="AO14" s="83">
        <f t="shared" si="20"/>
        <v>0</v>
      </c>
      <c r="AP14" s="83">
        <f t="shared" si="20"/>
        <v>0</v>
      </c>
      <c r="AQ14" s="83">
        <f t="shared" si="20"/>
        <v>0</v>
      </c>
      <c r="AR14" s="83">
        <f t="shared" si="20"/>
        <v>0</v>
      </c>
      <c r="AS14" s="83">
        <f t="shared" si="20"/>
        <v>0</v>
      </c>
      <c r="AT14" s="83">
        <f t="shared" si="20"/>
        <v>0</v>
      </c>
      <c r="AU14" s="83">
        <f t="shared" si="20"/>
        <v>0</v>
      </c>
      <c r="AV14" s="83">
        <f t="shared" si="20"/>
        <v>0</v>
      </c>
      <c r="AW14" s="83">
        <f t="shared" si="20"/>
        <v>0</v>
      </c>
      <c r="AX14" s="83">
        <f t="shared" si="20"/>
        <v>0</v>
      </c>
      <c r="AY14" s="83">
        <f t="shared" si="20"/>
        <v>0</v>
      </c>
    </row>
    <row r="15" spans="1:51">
      <c r="A15" s="71">
        <v>3</v>
      </c>
      <c r="B15" s="126" t="s">
        <v>447</v>
      </c>
      <c r="C15" s="127"/>
      <c r="D15" s="126" t="s">
        <v>448</v>
      </c>
      <c r="E15" s="127"/>
      <c r="F15" s="126" t="s">
        <v>449</v>
      </c>
      <c r="G15" s="127"/>
      <c r="H15" s="128"/>
      <c r="I15" s="127"/>
      <c r="J15" s="126" t="s">
        <v>460</v>
      </c>
      <c r="K15" s="129"/>
      <c r="L15" s="129"/>
      <c r="M15" s="129"/>
      <c r="N15" s="129"/>
      <c r="O15" s="129"/>
      <c r="P15" s="129"/>
      <c r="Q15" s="129"/>
      <c r="R15" s="129"/>
      <c r="S15" s="129"/>
      <c r="T15" s="129"/>
      <c r="U15" s="129"/>
      <c r="V15" s="129"/>
      <c r="W15" s="127"/>
      <c r="X15" s="126" t="s">
        <v>461</v>
      </c>
      <c r="Y15" s="129"/>
      <c r="Z15" s="129"/>
      <c r="AA15" s="129"/>
      <c r="AB15" s="129"/>
      <c r="AC15" s="129"/>
      <c r="AD15" s="129"/>
      <c r="AE15" s="129"/>
      <c r="AF15" s="129"/>
      <c r="AG15" s="129"/>
      <c r="AH15" s="129"/>
      <c r="AI15" s="129"/>
      <c r="AJ15" s="129"/>
      <c r="AK15" s="127"/>
      <c r="AL15" s="126" t="s">
        <v>462</v>
      </c>
      <c r="AM15" s="129"/>
      <c r="AN15" s="129"/>
      <c r="AO15" s="129"/>
      <c r="AP15" s="129"/>
      <c r="AQ15" s="129"/>
      <c r="AR15" s="129"/>
      <c r="AS15" s="129"/>
      <c r="AT15" s="129"/>
      <c r="AU15" s="129"/>
      <c r="AV15" s="129"/>
      <c r="AW15" s="129"/>
      <c r="AX15" s="129"/>
      <c r="AY15" s="127"/>
    </row>
    <row r="16" spans="1:51">
      <c r="A16" s="72"/>
      <c r="B16" s="124" t="s">
        <v>453</v>
      </c>
      <c r="C16" s="122"/>
      <c r="D16" s="124" t="s">
        <v>453</v>
      </c>
      <c r="E16" s="122"/>
      <c r="F16" s="124" t="s">
        <v>453</v>
      </c>
      <c r="G16" s="122"/>
      <c r="H16" s="124" t="s">
        <v>454</v>
      </c>
      <c r="I16" s="125"/>
      <c r="J16" s="123">
        <v>45034</v>
      </c>
      <c r="K16" s="122"/>
      <c r="L16" s="121">
        <v>45035</v>
      </c>
      <c r="M16" s="122"/>
      <c r="N16" s="121">
        <v>45036</v>
      </c>
      <c r="O16" s="122"/>
      <c r="P16" s="121">
        <v>45037</v>
      </c>
      <c r="Q16" s="122"/>
      <c r="R16" s="121">
        <v>45038</v>
      </c>
      <c r="S16" s="122"/>
      <c r="T16" s="121">
        <v>45039</v>
      </c>
      <c r="U16" s="122"/>
      <c r="V16" s="121">
        <v>45040</v>
      </c>
      <c r="W16" s="122"/>
      <c r="X16" s="123">
        <v>45041</v>
      </c>
      <c r="Y16" s="122"/>
      <c r="Z16" s="121">
        <v>45042</v>
      </c>
      <c r="AA16" s="122"/>
      <c r="AB16" s="121">
        <v>45043</v>
      </c>
      <c r="AC16" s="122"/>
      <c r="AD16" s="121">
        <v>45044</v>
      </c>
      <c r="AE16" s="122"/>
      <c r="AF16" s="121">
        <v>45045</v>
      </c>
      <c r="AG16" s="122"/>
      <c r="AH16" s="121">
        <v>45046</v>
      </c>
      <c r="AI16" s="122"/>
      <c r="AJ16" s="121">
        <v>45047</v>
      </c>
      <c r="AK16" s="125"/>
      <c r="AL16" s="130" t="s">
        <v>463</v>
      </c>
      <c r="AM16" s="122"/>
      <c r="AN16" s="122"/>
      <c r="AO16" s="122"/>
      <c r="AP16" s="122"/>
      <c r="AQ16" s="122"/>
      <c r="AR16" s="122"/>
      <c r="AS16" s="122"/>
      <c r="AT16" s="122"/>
      <c r="AU16" s="122"/>
      <c r="AV16" s="122"/>
      <c r="AW16" s="122"/>
      <c r="AX16" s="122"/>
      <c r="AY16" s="125"/>
    </row>
    <row r="17" spans="1:51">
      <c r="A17" s="73" t="s">
        <v>456</v>
      </c>
      <c r="B17" s="74" t="s">
        <v>457</v>
      </c>
      <c r="C17" s="75" t="s">
        <v>458</v>
      </c>
      <c r="D17" s="74" t="s">
        <v>457</v>
      </c>
      <c r="E17" s="75" t="s">
        <v>458</v>
      </c>
      <c r="F17" s="74" t="s">
        <v>457</v>
      </c>
      <c r="G17" s="75" t="s">
        <v>458</v>
      </c>
      <c r="H17" s="76" t="s">
        <v>457</v>
      </c>
      <c r="I17" s="77" t="s">
        <v>458</v>
      </c>
      <c r="J17" s="74" t="s">
        <v>457</v>
      </c>
      <c r="K17" s="75" t="s">
        <v>458</v>
      </c>
      <c r="L17" s="78" t="s">
        <v>457</v>
      </c>
      <c r="M17" s="78" t="s">
        <v>458</v>
      </c>
      <c r="N17" s="78" t="s">
        <v>457</v>
      </c>
      <c r="O17" s="78" t="s">
        <v>458</v>
      </c>
      <c r="P17" s="78" t="s">
        <v>457</v>
      </c>
      <c r="Q17" s="78" t="s">
        <v>458</v>
      </c>
      <c r="R17" s="78" t="s">
        <v>457</v>
      </c>
      <c r="S17" s="78" t="s">
        <v>458</v>
      </c>
      <c r="T17" s="78" t="s">
        <v>457</v>
      </c>
      <c r="U17" s="78" t="s">
        <v>458</v>
      </c>
      <c r="V17" s="78" t="s">
        <v>457</v>
      </c>
      <c r="W17" s="78" t="s">
        <v>458</v>
      </c>
      <c r="X17" s="76" t="s">
        <v>457</v>
      </c>
      <c r="Y17" s="78" t="s">
        <v>458</v>
      </c>
      <c r="Z17" s="78" t="s">
        <v>457</v>
      </c>
      <c r="AA17" s="78" t="s">
        <v>458</v>
      </c>
      <c r="AB17" s="78" t="s">
        <v>457</v>
      </c>
      <c r="AC17" s="78" t="s">
        <v>458</v>
      </c>
      <c r="AD17" s="78" t="s">
        <v>457</v>
      </c>
      <c r="AE17" s="78" t="s">
        <v>458</v>
      </c>
      <c r="AF17" s="78" t="s">
        <v>457</v>
      </c>
      <c r="AG17" s="78" t="s">
        <v>458</v>
      </c>
      <c r="AH17" s="78" t="s">
        <v>457</v>
      </c>
      <c r="AI17" s="78" t="s">
        <v>458</v>
      </c>
      <c r="AJ17" s="78" t="s">
        <v>457</v>
      </c>
      <c r="AK17" s="77" t="s">
        <v>458</v>
      </c>
      <c r="AL17" s="131"/>
      <c r="AM17" s="132"/>
      <c r="AN17" s="132"/>
      <c r="AO17" s="132"/>
      <c r="AP17" s="132"/>
      <c r="AQ17" s="132"/>
      <c r="AR17" s="132"/>
      <c r="AS17" s="132"/>
      <c r="AT17" s="132"/>
      <c r="AU17" s="132"/>
      <c r="AV17" s="132"/>
      <c r="AW17" s="132"/>
      <c r="AX17" s="132"/>
      <c r="AY17" s="133"/>
    </row>
    <row r="18" spans="1:51">
      <c r="A18" s="79" t="s">
        <v>53</v>
      </c>
      <c r="B18" s="35">
        <f>SUMIFS(Tasks!$H$3:$H1004, Tasks!$F$3:$F1004, $A18, Tasks!$B$3:$B1004, $A$15, Tasks!$K$3:$K1004, "Backlog")</f>
        <v>0</v>
      </c>
      <c r="C18" s="85">
        <f>SUMIFS(Tasks!$H$3:$H1004, Tasks!$G$3:$G1004, $A18, Tasks!$B$3:$B1004, $A$15, Tasks!$K$3:$K1004, "Backlog")</f>
        <v>0</v>
      </c>
      <c r="D18" s="35">
        <f>SUMIFS(Tasks!$H$3:$H1004, Tasks!$F$3:$F1004, $A18, Tasks!$B$3:$B1004, $A$15, Tasks!$K$3:$K1004, "Progress")-SUMIFS(Tasks!$I$3:$I1004, Tasks!$F$3:$F1004, $A18, Tasks!$B$3:$B1004, $A$15, Tasks!$K$3:$K1004, "Progress")</f>
        <v>0</v>
      </c>
      <c r="E18" s="85">
        <f>SUMIFS(Tasks!$H$3:$H1004, Tasks!$G$3:$G1004, $A18, Tasks!$B$3:$B1004, $A$15, Tasks!$K$3:$K1004, "Progress")-SUMIFS(Tasks!$I$3:$I1004, Tasks!$G$3:$G1004, $A18, Tasks!$B$3:$B1004, $A$15, Tasks!$K$3:$K1004, "Progress")</f>
        <v>0</v>
      </c>
      <c r="F18" s="35">
        <f t="shared" ref="F18:G18" si="21">H18+B18</f>
        <v>16</v>
      </c>
      <c r="G18" s="85">
        <f t="shared" si="21"/>
        <v>12.5</v>
      </c>
      <c r="H18" s="14">
        <f t="shared" ref="H18:I18" si="22">SUM(J18,L18,N18,P18,R18,T18,V18,X18,Z18,AB18,AD18,AF18,AH18,AJ18)</f>
        <v>16</v>
      </c>
      <c r="I18" s="81">
        <f t="shared" si="22"/>
        <v>12.5</v>
      </c>
      <c r="J18" s="14">
        <f>SUMIFS(Task_hours!$H$4:$H$997, Task_hours!$E$4:$E$997, J$16, Task_hours!$F$4:$F$997, $A18)</f>
        <v>0</v>
      </c>
      <c r="K18" s="14">
        <f>SUMIFS(Task_hours!$H$4:$H$997, Task_hours!$E$4:$E$997, J$16, Task_hours!$G$4:$G$997, $A18)</f>
        <v>0</v>
      </c>
      <c r="L18" s="14">
        <f>SUMIFS(Task_hours!$H$4:$H$997, Task_hours!$E$4:$E$997, L$16, Task_hours!$F$4:$F$997, $A18)</f>
        <v>0</v>
      </c>
      <c r="M18" s="14">
        <f>SUMIFS(Task_hours!$H$4:$H$997, Task_hours!$E$4:$E$997, L$16, Task_hours!$G$4:$G$997, $A18)</f>
        <v>0</v>
      </c>
      <c r="N18" s="14">
        <f>SUMIFS(Task_hours!$H$4:$H$997, Task_hours!$E$4:$E$997, N$16, Task_hours!$F$4:$F$997, $A18)</f>
        <v>0</v>
      </c>
      <c r="O18" s="14">
        <f>SUMIFS(Task_hours!$H$4:$H$997, Task_hours!$E$4:$E$997, N$16, Task_hours!$G$4:$G$997, $A18)</f>
        <v>0</v>
      </c>
      <c r="P18" s="14">
        <f>SUMIFS(Task_hours!$H$4:$H$997, Task_hours!$E$4:$E$997, P$16, Task_hours!$F$4:$F$997, $A18)</f>
        <v>3</v>
      </c>
      <c r="Q18" s="14">
        <f>SUMIFS(Task_hours!$H$4:$H$997, Task_hours!$E$4:$E$997, P$16, Task_hours!$G$4:$G$997, $A18)</f>
        <v>0</v>
      </c>
      <c r="R18" s="14">
        <f>SUMIFS(Task_hours!$H$4:$H$997, Task_hours!$E$4:$E$997, R$16, Task_hours!$F$4:$F$997, $A18)</f>
        <v>0</v>
      </c>
      <c r="S18" s="14">
        <f>SUMIFS(Task_hours!$H$4:$H$997, Task_hours!$E$4:$E$997, R$16, Task_hours!$G$4:$G$997, $A18)</f>
        <v>0</v>
      </c>
      <c r="T18" s="14">
        <f>SUMIFS(Task_hours!$H$4:$H$997, Task_hours!$E$4:$E$997, T$16, Task_hours!$F$4:$F$997, $A18)</f>
        <v>0</v>
      </c>
      <c r="U18" s="14">
        <f>SUMIFS(Task_hours!$H$4:$H$997, Task_hours!$E$4:$E$997, T$16, Task_hours!$G$4:$G$997, $A18)</f>
        <v>2.5</v>
      </c>
      <c r="V18" s="14">
        <f>SUMIFS(Task_hours!$H$4:$H$997, Task_hours!$E$4:$E$997, V$16, Task_hours!$F$4:$F$997, $A18)</f>
        <v>1.5</v>
      </c>
      <c r="W18" s="14">
        <f>SUMIFS(Task_hours!$H$4:$H$997, Task_hours!$E$4:$E$997, V$16, Task_hours!$G$4:$G$997, $A18)</f>
        <v>0</v>
      </c>
      <c r="X18" s="14">
        <f>SUMIFS(Task_hours!$H$4:$H$997, Task_hours!$E$4:$E$997, X$16, Task_hours!$F$4:$F$997, $A18)</f>
        <v>1.5</v>
      </c>
      <c r="Y18" s="14">
        <f>SUMIFS(Task_hours!$H$4:$H$997, Task_hours!$E$4:$E$997, X$16, Task_hours!$G$4:$G$997, $A18)</f>
        <v>4</v>
      </c>
      <c r="Z18" s="14">
        <f>SUMIFS(Task_hours!$H$4:$H$997, Task_hours!$E$4:$E$997, Z$16, Task_hours!$F$4:$F$997, $A18)</f>
        <v>0</v>
      </c>
      <c r="AA18" s="14">
        <f>SUMIFS(Task_hours!$H$4:$H$997, Task_hours!$E$4:$E$997, Z$16, Task_hours!$G$4:$G$997, $A18)</f>
        <v>0</v>
      </c>
      <c r="AB18" s="14">
        <f>SUMIFS(Task_hours!$H$4:$H$997, Task_hours!$E$4:$E$997, AB$16, Task_hours!$F$4:$F$997, $A18)</f>
        <v>0</v>
      </c>
      <c r="AC18" s="14">
        <f>SUMIFS(Task_hours!$H$4:$H$997, Task_hours!$E$4:$E$997, AB$16, Task_hours!$G$4:$G$997, $A18)</f>
        <v>0</v>
      </c>
      <c r="AD18" s="14">
        <f>SUMIFS(Task_hours!$H$4:$H$997, Task_hours!$E$4:$E$997, AD$16, Task_hours!$F$4:$F$997, $A18)</f>
        <v>5</v>
      </c>
      <c r="AE18" s="14">
        <f>SUMIFS(Task_hours!$H$4:$H$997, Task_hours!$E$4:$E$997, AD$16, Task_hours!$G$4:$G$997, $A18)</f>
        <v>6</v>
      </c>
      <c r="AF18" s="14">
        <f>SUMIFS(Task_hours!$H$4:$H$997, Task_hours!$E$4:$E$997, AF$16, Task_hours!$F$4:$F$997, $A18)</f>
        <v>0</v>
      </c>
      <c r="AG18" s="14">
        <f>SUMIFS(Task_hours!$H$4:$H$997, Task_hours!$E$4:$E$997, AF$16, Task_hours!$G$4:$G$997, $A18)</f>
        <v>0</v>
      </c>
      <c r="AH18" s="14">
        <f>SUMIFS(Task_hours!$H$4:$H$997, Task_hours!$E$4:$E$997, AH$16, Task_hours!$F$4:$F$997, $A18)</f>
        <v>5</v>
      </c>
      <c r="AI18" s="14">
        <f>SUMIFS(Task_hours!$H$4:$H$997, Task_hours!$E$4:$E$997, AH$16, Task_hours!$G$4:$G$997, $A18)</f>
        <v>0</v>
      </c>
      <c r="AJ18" s="14">
        <f>SUMIFS(Task_hours!$H$4:$H$997, Task_hours!$E$4:$E$997, AJ$16, Task_hours!$F$4:$F$997, $A18)</f>
        <v>0</v>
      </c>
      <c r="AK18" s="14">
        <f>SUMIFS(Task_hours!$H$4:$H$997, Task_hours!$E$4:$E$997, AJ$16, Task_hours!$G$4:$G$997, $A18)</f>
        <v>0</v>
      </c>
      <c r="AL18" s="14">
        <f>SUMIFS(Task_hours!$H$4:$H$997, Task_hours!$E$4:$E$997, AL$16, Task_hours!$F$4:$F$997, $A18)</f>
        <v>0</v>
      </c>
      <c r="AM18" s="14">
        <f>SUMIFS(Task_hours!$H$4:$H$997, Task_hours!$E$4:$E$997, AL$16, Task_hours!$G$4:$G$997, $A18)</f>
        <v>0</v>
      </c>
      <c r="AN18" s="14">
        <f>SUMIFS(Task_hours!$H$4:$H$997, Task_hours!$E$4:$E$997, AN$16, Task_hours!$F$4:$F$997, $A18)</f>
        <v>0</v>
      </c>
      <c r="AO18" s="14">
        <f>SUMIFS(Task_hours!$H$4:$H$997, Task_hours!$E$4:$E$997, AN$16, Task_hours!$G$4:$G$997, $A18)</f>
        <v>0</v>
      </c>
      <c r="AP18" s="14">
        <f>SUMIFS(Task_hours!$H$4:$H$997, Task_hours!$E$4:$E$997, AP$16, Task_hours!$F$4:$F$997, $A18)</f>
        <v>0</v>
      </c>
      <c r="AQ18" s="14">
        <f>SUMIFS(Task_hours!$H$4:$H$997, Task_hours!$E$4:$E$997, AP$16, Task_hours!$G$4:$G$997, $A18)</f>
        <v>0</v>
      </c>
      <c r="AR18" s="14">
        <f>SUMIFS(Task_hours!$H$4:$H$997, Task_hours!$E$4:$E$997, AR$16, Task_hours!$F$4:$F$997, $A18)</f>
        <v>0</v>
      </c>
      <c r="AS18" s="14">
        <f>SUMIFS(Task_hours!$H$4:$H$997, Task_hours!$E$4:$E$997, AR$16, Task_hours!$G$4:$G$997, $A18)</f>
        <v>0</v>
      </c>
      <c r="AT18" s="14">
        <f>SUMIFS(Task_hours!$H$4:$H$997, Task_hours!$E$4:$E$997, AT$16, Task_hours!$F$4:$F$997, $A18)</f>
        <v>0</v>
      </c>
      <c r="AU18" s="14">
        <f>SUMIFS(Task_hours!$H$4:$H$997, Task_hours!$E$4:$E$997, AT$16, Task_hours!$G$4:$G$997, $A18)</f>
        <v>0</v>
      </c>
      <c r="AV18" s="14">
        <f>SUMIFS(Task_hours!$H$4:$H$997, Task_hours!$E$4:$E$997, AV$16, Task_hours!$F$4:$F$997, $A18)</f>
        <v>0</v>
      </c>
      <c r="AW18" s="14">
        <f>SUMIFS(Task_hours!$H$4:$H$997, Task_hours!$E$4:$E$997, AV$16, Task_hours!$G$4:$G$997, $A18)</f>
        <v>0</v>
      </c>
      <c r="AX18" s="14">
        <f>SUMIFS(Task_hours!$H$4:$H$997, Task_hours!$E$4:$E$997, AX$16, Task_hours!$F$4:$F$997, $A18)</f>
        <v>0</v>
      </c>
      <c r="AY18" s="14">
        <f>SUMIFS(Task_hours!$H$4:$H$997, Task_hours!$E$4:$E$997, AX$16, Task_hours!$G$4:$G$997, $A18)</f>
        <v>0</v>
      </c>
    </row>
    <row r="19" spans="1:51">
      <c r="A19" s="79" t="s">
        <v>66</v>
      </c>
      <c r="B19" s="34">
        <f>SUMIFS(Tasks!$H$3:$H1004, Tasks!$F$3:$F1004, $A19, Tasks!$B$3:$B1004, $A$15, Tasks!$K$3:$K1004, "Backlog")</f>
        <v>0</v>
      </c>
      <c r="C19" s="86">
        <f>SUMIFS(Tasks!$H$3:$H1004, Tasks!$G$3:$G1004, $A19, Tasks!$B$3:$B1004, $A$15, Tasks!$K$3:$K1004, "Backlog")</f>
        <v>0</v>
      </c>
      <c r="D19" s="34">
        <f>SUMIFS(Tasks!$H$3:$H1004, Tasks!$F$3:$F1004, $A19, Tasks!$B$3:$B1004, $A$15, Tasks!$K$3:$K1004, "Progress")-SUMIFS(Tasks!$I$3:$I1004, Tasks!$F$3:$F1004, $A19, Tasks!$B$3:$B1004, $A$15, Tasks!$K$3:$K1004, "Progress")</f>
        <v>0</v>
      </c>
      <c r="E19" s="86">
        <f>SUMIFS(Tasks!$H$3:$H1004, Tasks!$G$3:$G1004, $A19, Tasks!$B$3:$B1004, $A$15, Tasks!$K$3:$K1004, "Progress")-SUMIFS(Tasks!$I$3:$I1004, Tasks!$G$3:$G1004, $A19, Tasks!$B$3:$B1004, $A$15, Tasks!$K$3:$K1004, "Progress")</f>
        <v>0</v>
      </c>
      <c r="F19" s="34">
        <f t="shared" ref="F19:G19" si="23">H19+B19</f>
        <v>14.5</v>
      </c>
      <c r="G19" s="86">
        <f t="shared" si="23"/>
        <v>14</v>
      </c>
      <c r="H19" s="14">
        <f t="shared" ref="H19:I19" si="24">SUM(J19,L19,N19,P19,R19,T19,V19,X19,Z19,AB19,AD19,AF19,AH19,AJ19)</f>
        <v>14.5</v>
      </c>
      <c r="I19" s="81">
        <f t="shared" si="24"/>
        <v>14</v>
      </c>
      <c r="J19" s="14">
        <f>SUMIFS(Task_hours!$H$4:$H$997, Task_hours!$E$4:$E$997, J$16, Task_hours!$F$4:$F$997, $A19)</f>
        <v>0</v>
      </c>
      <c r="K19" s="14">
        <f>SUMIFS(Task_hours!$H$4:$H$997, Task_hours!$E$4:$E$997, J$16, Task_hours!$G$4:$G$997, $A19)</f>
        <v>0</v>
      </c>
      <c r="L19" s="14">
        <f>SUMIFS(Task_hours!$H$4:$H$997, Task_hours!$E$4:$E$997, L$16, Task_hours!$F$4:$F$997, $A19)</f>
        <v>0</v>
      </c>
      <c r="M19" s="14">
        <f>SUMIFS(Task_hours!$H$4:$H$997, Task_hours!$E$4:$E$997, L$16, Task_hours!$G$4:$G$997, $A19)</f>
        <v>3</v>
      </c>
      <c r="N19" s="14">
        <f>SUMIFS(Task_hours!$H$4:$H$997, Task_hours!$E$4:$E$997, N$16, Task_hours!$F$4:$F$997, $A19)</f>
        <v>0</v>
      </c>
      <c r="O19" s="14">
        <f>SUMIFS(Task_hours!$H$4:$H$997, Task_hours!$E$4:$E$997, N$16, Task_hours!$G$4:$G$997, $A19)</f>
        <v>0</v>
      </c>
      <c r="P19" s="14">
        <f>SUMIFS(Task_hours!$H$4:$H$997, Task_hours!$E$4:$E$997, P$16, Task_hours!$F$4:$F$997, $A19)</f>
        <v>0</v>
      </c>
      <c r="Q19" s="14">
        <f>SUMIFS(Task_hours!$H$4:$H$997, Task_hours!$E$4:$E$997, P$16, Task_hours!$G$4:$G$997, $A19)</f>
        <v>3</v>
      </c>
      <c r="R19" s="14">
        <f>SUMIFS(Task_hours!$H$4:$H$997, Task_hours!$E$4:$E$997, R$16, Task_hours!$F$4:$F$997, $A19)</f>
        <v>0</v>
      </c>
      <c r="S19" s="14">
        <f>SUMIFS(Task_hours!$H$4:$H$997, Task_hours!$E$4:$E$997, R$16, Task_hours!$G$4:$G$997, $A19)</f>
        <v>0</v>
      </c>
      <c r="T19" s="14">
        <f>SUMIFS(Task_hours!$H$4:$H$997, Task_hours!$E$4:$E$997, T$16, Task_hours!$F$4:$F$997, $A19)</f>
        <v>0</v>
      </c>
      <c r="U19" s="14">
        <f>SUMIFS(Task_hours!$H$4:$H$997, Task_hours!$E$4:$E$997, T$16, Task_hours!$G$4:$G$997, $A19)</f>
        <v>0</v>
      </c>
      <c r="V19" s="14">
        <f>SUMIFS(Task_hours!$H$4:$H$997, Task_hours!$E$4:$E$997, V$16, Task_hours!$F$4:$F$997, $A19)</f>
        <v>2.5</v>
      </c>
      <c r="W19" s="14">
        <f>SUMIFS(Task_hours!$H$4:$H$997, Task_hours!$E$4:$E$997, V$16, Task_hours!$G$4:$G$997, $A19)</f>
        <v>0</v>
      </c>
      <c r="X19" s="14">
        <f>SUMIFS(Task_hours!$H$4:$H$997, Task_hours!$E$4:$E$997, X$16, Task_hours!$F$4:$F$997, $A19)</f>
        <v>2</v>
      </c>
      <c r="Y19" s="14">
        <f>SUMIFS(Task_hours!$H$4:$H$997, Task_hours!$E$4:$E$997, X$16, Task_hours!$G$4:$G$997, $A19)</f>
        <v>0</v>
      </c>
      <c r="Z19" s="14">
        <f>SUMIFS(Task_hours!$H$4:$H$997, Task_hours!$E$4:$E$997, Z$16, Task_hours!$F$4:$F$997, $A19)</f>
        <v>0</v>
      </c>
      <c r="AA19" s="14">
        <f>SUMIFS(Task_hours!$H$4:$H$997, Task_hours!$E$4:$E$997, Z$16, Task_hours!$G$4:$G$997, $A19)</f>
        <v>0</v>
      </c>
      <c r="AB19" s="14">
        <f>SUMIFS(Task_hours!$H$4:$H$997, Task_hours!$E$4:$E$997, AB$16, Task_hours!$F$4:$F$997, $A19)</f>
        <v>0</v>
      </c>
      <c r="AC19" s="14">
        <f>SUMIFS(Task_hours!$H$4:$H$997, Task_hours!$E$4:$E$997, AB$16, Task_hours!$G$4:$G$997, $A19)</f>
        <v>0</v>
      </c>
      <c r="AD19" s="14">
        <f>SUMIFS(Task_hours!$H$4:$H$997, Task_hours!$E$4:$E$997, AD$16, Task_hours!$F$4:$F$997, $A19)</f>
        <v>0</v>
      </c>
      <c r="AE19" s="14">
        <f>SUMIFS(Task_hours!$H$4:$H$997, Task_hours!$E$4:$E$997, AD$16, Task_hours!$G$4:$G$997, $A19)</f>
        <v>3</v>
      </c>
      <c r="AF19" s="14">
        <f>SUMIFS(Task_hours!$H$4:$H$997, Task_hours!$E$4:$E$997, AF$16, Task_hours!$F$4:$F$997, $A19)</f>
        <v>3</v>
      </c>
      <c r="AG19" s="14">
        <f>SUMIFS(Task_hours!$H$4:$H$997, Task_hours!$E$4:$E$997, AF$16, Task_hours!$G$4:$G$997, $A19)</f>
        <v>0</v>
      </c>
      <c r="AH19" s="14">
        <f>SUMIFS(Task_hours!$H$4:$H$997, Task_hours!$E$4:$E$997, AH$16, Task_hours!$F$4:$F$997, $A19)</f>
        <v>3</v>
      </c>
      <c r="AI19" s="14">
        <f>SUMIFS(Task_hours!$H$4:$H$997, Task_hours!$E$4:$E$997, AH$16, Task_hours!$G$4:$G$997, $A19)</f>
        <v>3</v>
      </c>
      <c r="AJ19" s="14">
        <f>SUMIFS(Task_hours!$H$4:$H$997, Task_hours!$E$4:$E$997, AJ$16, Task_hours!$F$4:$F$997, $A19)</f>
        <v>4</v>
      </c>
      <c r="AK19" s="14">
        <f>SUMIFS(Task_hours!$H$4:$H$997, Task_hours!$E$4:$E$997, AJ$16, Task_hours!$G$4:$G$997, $A19)</f>
        <v>2</v>
      </c>
      <c r="AL19" s="14">
        <f>SUMIFS(Task_hours!$H$4:$H$997, Task_hours!$E$4:$E$997, AL$16, Task_hours!$F$4:$F$997, $A19)</f>
        <v>0</v>
      </c>
      <c r="AM19" s="14">
        <f>SUMIFS(Task_hours!$H$4:$H$997, Task_hours!$E$4:$E$997, AL$16, Task_hours!$G$4:$G$997, $A19)</f>
        <v>0</v>
      </c>
      <c r="AN19" s="14">
        <f>SUMIFS(Task_hours!$H$4:$H$997, Task_hours!$E$4:$E$997, AN$16, Task_hours!$F$4:$F$997, $A19)</f>
        <v>0</v>
      </c>
      <c r="AO19" s="14">
        <f>SUMIFS(Task_hours!$H$4:$H$997, Task_hours!$E$4:$E$997, AN$16, Task_hours!$G$4:$G$997, $A19)</f>
        <v>0</v>
      </c>
      <c r="AP19" s="14">
        <f>SUMIFS(Task_hours!$H$4:$H$997, Task_hours!$E$4:$E$997, AP$16, Task_hours!$F$4:$F$997, $A19)</f>
        <v>0</v>
      </c>
      <c r="AQ19" s="14">
        <f>SUMIFS(Task_hours!$H$4:$H$997, Task_hours!$E$4:$E$997, AP$16, Task_hours!$G$4:$G$997, $A19)</f>
        <v>0</v>
      </c>
      <c r="AR19" s="14">
        <f>SUMIFS(Task_hours!$H$4:$H$997, Task_hours!$E$4:$E$997, AR$16, Task_hours!$F$4:$F$997, $A19)</f>
        <v>0</v>
      </c>
      <c r="AS19" s="14">
        <f>SUMIFS(Task_hours!$H$4:$H$997, Task_hours!$E$4:$E$997, AR$16, Task_hours!$G$4:$G$997, $A19)</f>
        <v>0</v>
      </c>
      <c r="AT19" s="14">
        <f>SUMIFS(Task_hours!$H$4:$H$997, Task_hours!$E$4:$E$997, AT$16, Task_hours!$F$4:$F$997, $A19)</f>
        <v>0</v>
      </c>
      <c r="AU19" s="14">
        <f>SUMIFS(Task_hours!$H$4:$H$997, Task_hours!$E$4:$E$997, AT$16, Task_hours!$G$4:$G$997, $A19)</f>
        <v>0</v>
      </c>
      <c r="AV19" s="14">
        <f>SUMIFS(Task_hours!$H$4:$H$997, Task_hours!$E$4:$E$997, AV$16, Task_hours!$F$4:$F$997, $A19)</f>
        <v>0</v>
      </c>
      <c r="AW19" s="14">
        <f>SUMIFS(Task_hours!$H$4:$H$997, Task_hours!$E$4:$E$997, AV$16, Task_hours!$G$4:$G$997, $A19)</f>
        <v>0</v>
      </c>
      <c r="AX19" s="14">
        <f>SUMIFS(Task_hours!$H$4:$H$997, Task_hours!$E$4:$E$997, AX$16, Task_hours!$F$4:$F$997, $A19)</f>
        <v>0</v>
      </c>
      <c r="AY19" s="14">
        <f>SUMIFS(Task_hours!$H$4:$H$997, Task_hours!$E$4:$E$997, AX$16, Task_hours!$G$4:$G$997, $A19)</f>
        <v>0</v>
      </c>
    </row>
    <row r="20" spans="1:51">
      <c r="A20" s="79" t="s">
        <v>56</v>
      </c>
      <c r="B20" s="35">
        <f>SUMIFS(Tasks!$H$3:$H1004, Tasks!$F$3:$F1004, $A20, Tasks!$B$3:$B1004, $A$15, Tasks!$K$3:$K1004, "Backlog")</f>
        <v>0</v>
      </c>
      <c r="C20" s="85">
        <f>SUMIFS(Tasks!$H$3:$H1004, Tasks!$G$3:$G1004, $A20, Tasks!$B$3:$B1004, $A$15, Tasks!$K$3:$K1004, "Backlog")</f>
        <v>0</v>
      </c>
      <c r="D20" s="35">
        <f>SUMIFS(Tasks!$H$3:$H1004, Tasks!$F$3:$F1004, $A20, Tasks!$B$3:$B1004, $A$15, Tasks!$K$3:$K1004, "Progress")-SUMIFS(Tasks!$I$3:$I1004, Tasks!$F$3:$F1004, $A20, Tasks!$B$3:$B1004, $A$15, Tasks!$K$3:$K1004, "Progress")</f>
        <v>0</v>
      </c>
      <c r="E20" s="85">
        <f>SUMIFS(Tasks!$H$3:$H1004, Tasks!$G$3:$G1004, $A20, Tasks!$B$3:$B1004, $A$15, Tasks!$K$3:$K1004, "Progress")-SUMIFS(Tasks!$I$3:$I1004, Tasks!$G$3:$G1004, $A20, Tasks!$B$3:$B1004, $A$15, Tasks!$K$3:$K1004, "Progress")</f>
        <v>0</v>
      </c>
      <c r="F20" s="35">
        <f t="shared" ref="F20:G20" si="25">H20+B20</f>
        <v>9.5</v>
      </c>
      <c r="G20" s="85">
        <f t="shared" si="25"/>
        <v>15.5</v>
      </c>
      <c r="H20" s="14">
        <f t="shared" ref="H20:I20" si="26">SUM(J20,L20,N20,P20,R20,T20,V20,X20,Z20,AB20,AD20,AF20,AH20,AJ20)</f>
        <v>9.5</v>
      </c>
      <c r="I20" s="81">
        <f t="shared" si="26"/>
        <v>15.5</v>
      </c>
      <c r="J20" s="14">
        <f>SUMIFS(Task_hours!$H$4:$H$997, Task_hours!$E$4:$E$997, J$16, Task_hours!$F$4:$F$997, $A20)</f>
        <v>0</v>
      </c>
      <c r="K20" s="14">
        <f>SUMIFS(Task_hours!$H$4:$H$997, Task_hours!$E$4:$E$997, J$16, Task_hours!$G$4:$G$997, $A20)</f>
        <v>0</v>
      </c>
      <c r="L20" s="14">
        <f>SUMIFS(Task_hours!$H$4:$H$997, Task_hours!$E$4:$E$997, L$16, Task_hours!$F$4:$F$997, $A20)</f>
        <v>0</v>
      </c>
      <c r="M20" s="14">
        <f>SUMIFS(Task_hours!$H$4:$H$997, Task_hours!$E$4:$E$997, L$16, Task_hours!$G$4:$G$997, $A20)</f>
        <v>0</v>
      </c>
      <c r="N20" s="14">
        <f>SUMIFS(Task_hours!$H$4:$H$997, Task_hours!$E$4:$E$997, N$16, Task_hours!$F$4:$F$997, $A20)</f>
        <v>0</v>
      </c>
      <c r="O20" s="14">
        <f>SUMIFS(Task_hours!$H$4:$H$997, Task_hours!$E$4:$E$997, N$16, Task_hours!$G$4:$G$997, $A20)</f>
        <v>2</v>
      </c>
      <c r="P20" s="14">
        <f>SUMIFS(Task_hours!$H$4:$H$997, Task_hours!$E$4:$E$997, P$16, Task_hours!$F$4:$F$997, $A20)</f>
        <v>0</v>
      </c>
      <c r="Q20" s="14">
        <f>SUMIFS(Task_hours!$H$4:$H$997, Task_hours!$E$4:$E$997, P$16, Task_hours!$G$4:$G$997, $A20)</f>
        <v>0</v>
      </c>
      <c r="R20" s="14">
        <f>SUMIFS(Task_hours!$H$4:$H$997, Task_hours!$E$4:$E$997, R$16, Task_hours!$F$4:$F$997, $A20)</f>
        <v>0</v>
      </c>
      <c r="S20" s="14">
        <f>SUMIFS(Task_hours!$H$4:$H$997, Task_hours!$E$4:$E$997, R$16, Task_hours!$G$4:$G$997, $A20)</f>
        <v>0</v>
      </c>
      <c r="T20" s="14">
        <f>SUMIFS(Task_hours!$H$4:$H$997, Task_hours!$E$4:$E$997, T$16, Task_hours!$F$4:$F$997, $A20)</f>
        <v>0</v>
      </c>
      <c r="U20" s="14">
        <f>SUMIFS(Task_hours!$H$4:$H$997, Task_hours!$E$4:$E$997, T$16, Task_hours!$G$4:$G$997, $A20)</f>
        <v>0</v>
      </c>
      <c r="V20" s="14">
        <f>SUMIFS(Task_hours!$H$4:$H$997, Task_hours!$E$4:$E$997, V$16, Task_hours!$F$4:$F$997, $A20)</f>
        <v>1</v>
      </c>
      <c r="W20" s="14">
        <f>SUMIFS(Task_hours!$H$4:$H$997, Task_hours!$E$4:$E$997, V$16, Task_hours!$G$4:$G$997, $A20)</f>
        <v>0.5</v>
      </c>
      <c r="X20" s="14">
        <f>SUMIFS(Task_hours!$H$4:$H$997, Task_hours!$E$4:$E$997, X$16, Task_hours!$F$4:$F$997, $A20)</f>
        <v>0.5</v>
      </c>
      <c r="Y20" s="14">
        <f>SUMIFS(Task_hours!$H$4:$H$997, Task_hours!$E$4:$E$997, X$16, Task_hours!$G$4:$G$997, $A20)</f>
        <v>1.5</v>
      </c>
      <c r="Z20" s="14">
        <f>SUMIFS(Task_hours!$H$4:$H$997, Task_hours!$E$4:$E$997, Z$16, Task_hours!$F$4:$F$997, $A20)</f>
        <v>2</v>
      </c>
      <c r="AA20" s="14">
        <f>SUMIFS(Task_hours!$H$4:$H$997, Task_hours!$E$4:$E$997, Z$16, Task_hours!$G$4:$G$997, $A20)</f>
        <v>3</v>
      </c>
      <c r="AB20" s="14">
        <f>SUMIFS(Task_hours!$H$4:$H$997, Task_hours!$E$4:$E$997, AB$16, Task_hours!$F$4:$F$997, $A20)</f>
        <v>0</v>
      </c>
      <c r="AC20" s="14">
        <f>SUMIFS(Task_hours!$H$4:$H$997, Task_hours!$E$4:$E$997, AB$16, Task_hours!$G$4:$G$997, $A20)</f>
        <v>5</v>
      </c>
      <c r="AD20" s="14">
        <f>SUMIFS(Task_hours!$H$4:$H$997, Task_hours!$E$4:$E$997, AD$16, Task_hours!$F$4:$F$997, $A20)</f>
        <v>6</v>
      </c>
      <c r="AE20" s="14">
        <f>SUMIFS(Task_hours!$H$4:$H$997, Task_hours!$E$4:$E$997, AD$16, Task_hours!$G$4:$G$997, $A20)</f>
        <v>0</v>
      </c>
      <c r="AF20" s="14">
        <f>SUMIFS(Task_hours!$H$4:$H$997, Task_hours!$E$4:$E$997, AF$16, Task_hours!$F$4:$F$997, $A20)</f>
        <v>0</v>
      </c>
      <c r="AG20" s="14">
        <f>SUMIFS(Task_hours!$H$4:$H$997, Task_hours!$E$4:$E$997, AF$16, Task_hours!$G$4:$G$997, $A20)</f>
        <v>1</v>
      </c>
      <c r="AH20" s="14">
        <f>SUMIFS(Task_hours!$H$4:$H$997, Task_hours!$E$4:$E$997, AH$16, Task_hours!$F$4:$F$997, $A20)</f>
        <v>0</v>
      </c>
      <c r="AI20" s="14">
        <f>SUMIFS(Task_hours!$H$4:$H$997, Task_hours!$E$4:$E$997, AH$16, Task_hours!$G$4:$G$997, $A20)</f>
        <v>0</v>
      </c>
      <c r="AJ20" s="14">
        <f>SUMIFS(Task_hours!$H$4:$H$997, Task_hours!$E$4:$E$997, AJ$16, Task_hours!$F$4:$F$997, $A20)</f>
        <v>0</v>
      </c>
      <c r="AK20" s="14">
        <f>SUMIFS(Task_hours!$H$4:$H$997, Task_hours!$E$4:$E$997, AJ$16, Task_hours!$G$4:$G$997, $A20)</f>
        <v>2.5</v>
      </c>
      <c r="AL20" s="14">
        <f>SUMIFS(Task_hours!$H$4:$H$997, Task_hours!$E$4:$E$997, AL$16, Task_hours!$F$4:$F$997, $A20)</f>
        <v>0</v>
      </c>
      <c r="AM20" s="14">
        <f>SUMIFS(Task_hours!$H$4:$H$997, Task_hours!$E$4:$E$997, AL$16, Task_hours!$G$4:$G$997, $A20)</f>
        <v>0</v>
      </c>
      <c r="AN20" s="14">
        <f>SUMIFS(Task_hours!$H$4:$H$997, Task_hours!$E$4:$E$997, AN$16, Task_hours!$F$4:$F$997, $A20)</f>
        <v>0</v>
      </c>
      <c r="AO20" s="14">
        <f>SUMIFS(Task_hours!$H$4:$H$997, Task_hours!$E$4:$E$997, AN$16, Task_hours!$G$4:$G$997, $A20)</f>
        <v>0</v>
      </c>
      <c r="AP20" s="14">
        <f>SUMIFS(Task_hours!$H$4:$H$997, Task_hours!$E$4:$E$997, AP$16, Task_hours!$F$4:$F$997, $A20)</f>
        <v>0</v>
      </c>
      <c r="AQ20" s="14">
        <f>SUMIFS(Task_hours!$H$4:$H$997, Task_hours!$E$4:$E$997, AP$16, Task_hours!$G$4:$G$997, $A20)</f>
        <v>0</v>
      </c>
      <c r="AR20" s="14">
        <f>SUMIFS(Task_hours!$H$4:$H$997, Task_hours!$E$4:$E$997, AR$16, Task_hours!$F$4:$F$997, $A20)</f>
        <v>0</v>
      </c>
      <c r="AS20" s="14">
        <f>SUMIFS(Task_hours!$H$4:$H$997, Task_hours!$E$4:$E$997, AR$16, Task_hours!$G$4:$G$997, $A20)</f>
        <v>0</v>
      </c>
      <c r="AT20" s="14">
        <f>SUMIFS(Task_hours!$H$4:$H$997, Task_hours!$E$4:$E$997, AT$16, Task_hours!$F$4:$F$997, $A20)</f>
        <v>0</v>
      </c>
      <c r="AU20" s="14">
        <f>SUMIFS(Task_hours!$H$4:$H$997, Task_hours!$E$4:$E$997, AT$16, Task_hours!$G$4:$G$997, $A20)</f>
        <v>0</v>
      </c>
      <c r="AV20" s="14">
        <f>SUMIFS(Task_hours!$H$4:$H$997, Task_hours!$E$4:$E$997, AV$16, Task_hours!$F$4:$F$997, $A20)</f>
        <v>0</v>
      </c>
      <c r="AW20" s="14">
        <f>SUMIFS(Task_hours!$H$4:$H$997, Task_hours!$E$4:$E$997, AV$16, Task_hours!$G$4:$G$997, $A20)</f>
        <v>0</v>
      </c>
      <c r="AX20" s="14">
        <f>SUMIFS(Task_hours!$H$4:$H$997, Task_hours!$E$4:$E$997, AX$16, Task_hours!$F$4:$F$997, $A20)</f>
        <v>0</v>
      </c>
      <c r="AY20" s="14">
        <f>SUMIFS(Task_hours!$H$4:$H$997, Task_hours!$E$4:$E$997, AX$16, Task_hours!$G$4:$G$997, $A20)</f>
        <v>0</v>
      </c>
    </row>
    <row r="21" spans="1:51">
      <c r="A21" s="79" t="s">
        <v>49</v>
      </c>
      <c r="B21" s="34">
        <f>SUMIFS(Tasks!$H$3:$H1004, Tasks!$F$3:$F1004, $A21, Tasks!$B$3:$B1004, $A$15, Tasks!$K$3:$K1004, "Backlog")</f>
        <v>0</v>
      </c>
      <c r="C21" s="86">
        <f>SUMIFS(Tasks!$H$3:$H1004, Tasks!$G$3:$G1004, $A21, Tasks!$B$3:$B1004, $A$15, Tasks!$K$3:$K1004, "Backlog")</f>
        <v>0</v>
      </c>
      <c r="D21" s="34">
        <f>SUMIFS(Tasks!$H$3:$H1004, Tasks!$F$3:$F1004, $A21, Tasks!$B$3:$B1004, $A$15, Tasks!$K$3:$K1004, "Progress")-SUMIFS(Tasks!$I$3:$I1004, Tasks!$F$3:$F1004, $A21, Tasks!$B$3:$B1004, $A$15, Tasks!$K$3:$K1004, "Progress")</f>
        <v>0</v>
      </c>
      <c r="E21" s="86">
        <f>SUMIFS(Tasks!$H$3:$H1004, Tasks!$G$3:$G1004, $A21, Tasks!$B$3:$B1004, $A$15, Tasks!$K$3:$K1004, "Progress")-SUMIFS(Tasks!$I$3:$I1004, Tasks!$G$3:$G1004, $A21, Tasks!$B$3:$B1004, $A$15, Tasks!$K$3:$K1004, "Progress")</f>
        <v>0</v>
      </c>
      <c r="F21" s="34">
        <f t="shared" ref="F21:G21" si="27">H21+B21</f>
        <v>13.5</v>
      </c>
      <c r="G21" s="86">
        <f t="shared" si="27"/>
        <v>5.5</v>
      </c>
      <c r="H21" s="14">
        <f t="shared" ref="H21:I21" si="28">SUM(J21,L21,N21,P21,R21,T21,V21,X21,Z21,AB21,AD21,AF21,AH21,AJ21)</f>
        <v>13.5</v>
      </c>
      <c r="I21" s="81">
        <f t="shared" si="28"/>
        <v>5.5</v>
      </c>
      <c r="J21" s="14">
        <f>SUMIFS(Task_hours!$H$4:$H$997, Task_hours!$E$4:$E$997, J$16, Task_hours!$F$4:$F$997, $A21)</f>
        <v>3</v>
      </c>
      <c r="K21" s="14">
        <f>SUMIFS(Task_hours!$H$4:$H$997, Task_hours!$E$4:$E$997, J$16, Task_hours!$G$4:$G$997, $A21)</f>
        <v>0</v>
      </c>
      <c r="L21" s="14">
        <f>SUMIFS(Task_hours!$H$4:$H$997, Task_hours!$E$4:$E$997, L$16, Task_hours!$F$4:$F$997, $A21)</f>
        <v>1</v>
      </c>
      <c r="M21" s="14">
        <f>SUMIFS(Task_hours!$H$4:$H$997, Task_hours!$E$4:$E$997, L$16, Task_hours!$G$4:$G$997, $A21)</f>
        <v>0</v>
      </c>
      <c r="N21" s="14">
        <f>SUMIFS(Task_hours!$H$4:$H$997, Task_hours!$E$4:$E$997, N$16, Task_hours!$F$4:$F$997, $A21)</f>
        <v>2</v>
      </c>
      <c r="O21" s="14">
        <f>SUMIFS(Task_hours!$H$4:$H$997, Task_hours!$E$4:$E$997, N$16, Task_hours!$G$4:$G$997, $A21)</f>
        <v>0</v>
      </c>
      <c r="P21" s="14">
        <f>SUMIFS(Task_hours!$H$4:$H$997, Task_hours!$E$4:$E$997, P$16, Task_hours!$F$4:$F$997, $A21)</f>
        <v>0</v>
      </c>
      <c r="Q21" s="14">
        <f>SUMIFS(Task_hours!$H$4:$H$997, Task_hours!$E$4:$E$997, P$16, Task_hours!$G$4:$G$997, $A21)</f>
        <v>0</v>
      </c>
      <c r="R21" s="14">
        <f>SUMIFS(Task_hours!$H$4:$H$997, Task_hours!$E$4:$E$997, R$16, Task_hours!$F$4:$F$997, $A21)</f>
        <v>0</v>
      </c>
      <c r="S21" s="14">
        <f>SUMIFS(Task_hours!$H$4:$H$997, Task_hours!$E$4:$E$997, R$16, Task_hours!$G$4:$G$997, $A21)</f>
        <v>1</v>
      </c>
      <c r="T21" s="14">
        <f>SUMIFS(Task_hours!$H$4:$H$997, Task_hours!$E$4:$E$997, T$16, Task_hours!$F$4:$F$997, $A21)</f>
        <v>0</v>
      </c>
      <c r="U21" s="14">
        <f>SUMIFS(Task_hours!$H$4:$H$997, Task_hours!$E$4:$E$997, T$16, Task_hours!$G$4:$G$997, $A21)</f>
        <v>0</v>
      </c>
      <c r="V21" s="14">
        <f>SUMIFS(Task_hours!$H$4:$H$997, Task_hours!$E$4:$E$997, V$16, Task_hours!$F$4:$F$997, $A21)</f>
        <v>0.5</v>
      </c>
      <c r="W21" s="14">
        <f>SUMIFS(Task_hours!$H$4:$H$997, Task_hours!$E$4:$E$997, V$16, Task_hours!$G$4:$G$997, $A21)</f>
        <v>0</v>
      </c>
      <c r="X21" s="14">
        <f>SUMIFS(Task_hours!$H$4:$H$997, Task_hours!$E$4:$E$997, X$16, Task_hours!$F$4:$F$997, $A21)</f>
        <v>0</v>
      </c>
      <c r="Y21" s="14">
        <f>SUMIFS(Task_hours!$H$4:$H$997, Task_hours!$E$4:$E$997, X$16, Task_hours!$G$4:$G$997, $A21)</f>
        <v>0</v>
      </c>
      <c r="Z21" s="14">
        <f>SUMIFS(Task_hours!$H$4:$H$997, Task_hours!$E$4:$E$997, Z$16, Task_hours!$F$4:$F$997, $A21)</f>
        <v>2</v>
      </c>
      <c r="AA21" s="14">
        <f>SUMIFS(Task_hours!$H$4:$H$997, Task_hours!$E$4:$E$997, Z$16, Task_hours!$G$4:$G$997, $A21)</f>
        <v>0</v>
      </c>
      <c r="AB21" s="14">
        <f>SUMIFS(Task_hours!$H$4:$H$997, Task_hours!$E$4:$E$997, AB$16, Task_hours!$F$4:$F$997, $A21)</f>
        <v>1</v>
      </c>
      <c r="AC21" s="14">
        <f>SUMIFS(Task_hours!$H$4:$H$997, Task_hours!$E$4:$E$997, AB$16, Task_hours!$G$4:$G$997, $A21)</f>
        <v>3</v>
      </c>
      <c r="AD21" s="14">
        <f>SUMIFS(Task_hours!$H$4:$H$997, Task_hours!$E$4:$E$997, AD$16, Task_hours!$F$4:$F$997, $A21)</f>
        <v>0</v>
      </c>
      <c r="AE21" s="14">
        <f>SUMIFS(Task_hours!$H$4:$H$997, Task_hours!$E$4:$E$997, AD$16, Task_hours!$G$4:$G$997, $A21)</f>
        <v>0</v>
      </c>
      <c r="AF21" s="14">
        <f>SUMIFS(Task_hours!$H$4:$H$997, Task_hours!$E$4:$E$997, AF$16, Task_hours!$F$4:$F$997, $A21)</f>
        <v>0</v>
      </c>
      <c r="AG21" s="14">
        <f>SUMIFS(Task_hours!$H$4:$H$997, Task_hours!$E$4:$E$997, AF$16, Task_hours!$G$4:$G$997, $A21)</f>
        <v>1.5</v>
      </c>
      <c r="AH21" s="14">
        <f>SUMIFS(Task_hours!$H$4:$H$997, Task_hours!$E$4:$E$997, AH$16, Task_hours!$F$4:$F$997, $A21)</f>
        <v>1</v>
      </c>
      <c r="AI21" s="14">
        <f>SUMIFS(Task_hours!$H$4:$H$997, Task_hours!$E$4:$E$997, AH$16, Task_hours!$G$4:$G$997, $A21)</f>
        <v>0</v>
      </c>
      <c r="AJ21" s="14">
        <f>SUMIFS(Task_hours!$H$4:$H$997, Task_hours!$E$4:$E$997, AJ$16, Task_hours!$F$4:$F$997, $A21)</f>
        <v>3</v>
      </c>
      <c r="AK21" s="14">
        <f>SUMIFS(Task_hours!$H$4:$H$997, Task_hours!$E$4:$E$997, AJ$16, Task_hours!$G$4:$G$997, $A21)</f>
        <v>0</v>
      </c>
      <c r="AL21" s="14">
        <f>SUMIFS(Task_hours!$H$4:$H$997, Task_hours!$E$4:$E$997, AL$16, Task_hours!$F$4:$F$997, $A21)</f>
        <v>0</v>
      </c>
      <c r="AM21" s="14">
        <f>SUMIFS(Task_hours!$H$4:$H$997, Task_hours!$E$4:$E$997, AL$16, Task_hours!$G$4:$G$997, $A21)</f>
        <v>0</v>
      </c>
      <c r="AN21" s="14">
        <f>SUMIFS(Task_hours!$H$4:$H$997, Task_hours!$E$4:$E$997, AN$16, Task_hours!$F$4:$F$997, $A21)</f>
        <v>0</v>
      </c>
      <c r="AO21" s="14">
        <f>SUMIFS(Task_hours!$H$4:$H$997, Task_hours!$E$4:$E$997, AN$16, Task_hours!$G$4:$G$997, $A21)</f>
        <v>0</v>
      </c>
      <c r="AP21" s="14">
        <f>SUMIFS(Task_hours!$H$4:$H$997, Task_hours!$E$4:$E$997, AP$16, Task_hours!$F$4:$F$997, $A21)</f>
        <v>0</v>
      </c>
      <c r="AQ21" s="14">
        <f>SUMIFS(Task_hours!$H$4:$H$997, Task_hours!$E$4:$E$997, AP$16, Task_hours!$G$4:$G$997, $A21)</f>
        <v>0</v>
      </c>
      <c r="AR21" s="14">
        <f>SUMIFS(Task_hours!$H$4:$H$997, Task_hours!$E$4:$E$997, AR$16, Task_hours!$F$4:$F$997, $A21)</f>
        <v>0</v>
      </c>
      <c r="AS21" s="14">
        <f>SUMIFS(Task_hours!$H$4:$H$997, Task_hours!$E$4:$E$997, AR$16, Task_hours!$G$4:$G$997, $A21)</f>
        <v>0</v>
      </c>
      <c r="AT21" s="14">
        <f>SUMIFS(Task_hours!$H$4:$H$997, Task_hours!$E$4:$E$997, AT$16, Task_hours!$F$4:$F$997, $A21)</f>
        <v>0</v>
      </c>
      <c r="AU21" s="14">
        <f>SUMIFS(Task_hours!$H$4:$H$997, Task_hours!$E$4:$E$997, AT$16, Task_hours!$G$4:$G$997, $A21)</f>
        <v>0</v>
      </c>
      <c r="AV21" s="14">
        <f>SUMIFS(Task_hours!$H$4:$H$997, Task_hours!$E$4:$E$997, AV$16, Task_hours!$F$4:$F$997, $A21)</f>
        <v>0</v>
      </c>
      <c r="AW21" s="14">
        <f>SUMIFS(Task_hours!$H$4:$H$997, Task_hours!$E$4:$E$997, AV$16, Task_hours!$G$4:$G$997, $A21)</f>
        <v>0</v>
      </c>
      <c r="AX21" s="14">
        <f>SUMIFS(Task_hours!$H$4:$H$997, Task_hours!$E$4:$E$997, AX$16, Task_hours!$F$4:$F$997, $A21)</f>
        <v>0</v>
      </c>
      <c r="AY21" s="14">
        <f>SUMIFS(Task_hours!$H$4:$H$997, Task_hours!$E$4:$E$997, AX$16, Task_hours!$G$4:$G$997, $A21)</f>
        <v>0</v>
      </c>
    </row>
    <row r="22" spans="1:51">
      <c r="A22" s="79" t="s">
        <v>45</v>
      </c>
      <c r="B22" s="35">
        <f>SUMIFS(Tasks!$H$3:$H1004, Tasks!$F$3:$F1004, $A22, Tasks!$B$3:$B1004, $A$15, Tasks!$K$3:$K1004, "Backlog")</f>
        <v>0</v>
      </c>
      <c r="C22" s="85">
        <f>SUMIFS(Tasks!$H$3:$H1004, Tasks!$G$3:$G1004, $A22, Tasks!$B$3:$B1004, $A$15, Tasks!$K$3:$K1004, "Backlog")</f>
        <v>0</v>
      </c>
      <c r="D22" s="35">
        <f>SUMIFS(Tasks!$H$3:$H1004, Tasks!$F$3:$F1004, $A22, Tasks!$B$3:$B1004, $A$15, Tasks!$K$3:$K1004, "Progress")-SUMIFS(Tasks!$I$3:$I1004, Tasks!$F$3:$F1004, $A22, Tasks!$B$3:$B1004, $A$15, Tasks!$K$3:$K1004, "Progress")</f>
        <v>0</v>
      </c>
      <c r="E22" s="85">
        <f>SUMIFS(Tasks!$H$3:$H1004, Tasks!$G$3:$G1004, $A22, Tasks!$B$3:$B1004, $A$15, Tasks!$K$3:$K1004, "Progress")-SUMIFS(Tasks!$I$3:$I1004, Tasks!$G$3:$G1004, $A22, Tasks!$B$3:$B1004, $A$15, Tasks!$K$3:$K1004, "Progress")</f>
        <v>0</v>
      </c>
      <c r="F22" s="35">
        <f t="shared" ref="F22:G22" si="29">H22+B22</f>
        <v>7</v>
      </c>
      <c r="G22" s="85">
        <f t="shared" si="29"/>
        <v>4.5</v>
      </c>
      <c r="H22" s="14">
        <f t="shared" ref="H22:I22" si="30">SUM(J22,L22,N22,P22,R22,T22,V22,X22,Z22,AB22,AD22,AF22,AH22,AJ22)</f>
        <v>7</v>
      </c>
      <c r="I22" s="81">
        <f t="shared" si="30"/>
        <v>4.5</v>
      </c>
      <c r="J22" s="14">
        <f>SUMIFS(Task_hours!$H$4:$H$997, Task_hours!$E$4:$E$997, J$16, Task_hours!$F$4:$F$997, $A22)</f>
        <v>1.5</v>
      </c>
      <c r="K22" s="14">
        <f>SUMIFS(Task_hours!$H$4:$H$997, Task_hours!$E$4:$E$997, J$16, Task_hours!$G$4:$G$997, $A22)</f>
        <v>0</v>
      </c>
      <c r="L22" s="14">
        <f>SUMIFS(Task_hours!$H$4:$H$997, Task_hours!$E$4:$E$997, L$16, Task_hours!$F$4:$F$997, $A22)</f>
        <v>0</v>
      </c>
      <c r="M22" s="14">
        <f>SUMIFS(Task_hours!$H$4:$H$997, Task_hours!$E$4:$E$997, L$16, Task_hours!$G$4:$G$997, $A22)</f>
        <v>0</v>
      </c>
      <c r="N22" s="14">
        <f>SUMIFS(Task_hours!$H$4:$H$997, Task_hours!$E$4:$E$997, N$16, Task_hours!$F$4:$F$997, $A22)</f>
        <v>0</v>
      </c>
      <c r="O22" s="14">
        <f>SUMIFS(Task_hours!$H$4:$H$997, Task_hours!$E$4:$E$997, N$16, Task_hours!$G$4:$G$997, $A22)</f>
        <v>0</v>
      </c>
      <c r="P22" s="14">
        <f>SUMIFS(Task_hours!$H$4:$H$997, Task_hours!$E$4:$E$997, P$16, Task_hours!$F$4:$F$997, $A22)</f>
        <v>0</v>
      </c>
      <c r="Q22" s="14">
        <f>SUMIFS(Task_hours!$H$4:$H$997, Task_hours!$E$4:$E$997, P$16, Task_hours!$G$4:$G$997, $A22)</f>
        <v>0</v>
      </c>
      <c r="R22" s="14">
        <f>SUMIFS(Task_hours!$H$4:$H$997, Task_hours!$E$4:$E$997, R$16, Task_hours!$F$4:$F$997, $A22)</f>
        <v>1</v>
      </c>
      <c r="S22" s="14">
        <f>SUMIFS(Task_hours!$H$4:$H$997, Task_hours!$E$4:$E$997, R$16, Task_hours!$G$4:$G$997, $A22)</f>
        <v>0</v>
      </c>
      <c r="T22" s="14">
        <f>SUMIFS(Task_hours!$H$4:$H$997, Task_hours!$E$4:$E$997, T$16, Task_hours!$F$4:$F$997, $A22)</f>
        <v>2.5</v>
      </c>
      <c r="U22" s="14">
        <f>SUMIFS(Task_hours!$H$4:$H$997, Task_hours!$E$4:$E$997, T$16, Task_hours!$G$4:$G$997, $A22)</f>
        <v>0</v>
      </c>
      <c r="V22" s="14">
        <f>SUMIFS(Task_hours!$H$4:$H$997, Task_hours!$E$4:$E$997, V$16, Task_hours!$F$4:$F$997, $A22)</f>
        <v>0</v>
      </c>
      <c r="W22" s="14">
        <f>SUMIFS(Task_hours!$H$4:$H$997, Task_hours!$E$4:$E$997, V$16, Task_hours!$G$4:$G$997, $A22)</f>
        <v>1.5</v>
      </c>
      <c r="X22" s="14">
        <f>SUMIFS(Task_hours!$H$4:$H$997, Task_hours!$E$4:$E$997, X$16, Task_hours!$F$4:$F$997, $A22)</f>
        <v>0</v>
      </c>
      <c r="Y22" s="14">
        <f>SUMIFS(Task_hours!$H$4:$H$997, Task_hours!$E$4:$E$997, X$16, Task_hours!$G$4:$G$997, $A22)</f>
        <v>0</v>
      </c>
      <c r="Z22" s="14">
        <f>SUMIFS(Task_hours!$H$4:$H$997, Task_hours!$E$4:$E$997, Z$16, Task_hours!$F$4:$F$997, $A22)</f>
        <v>0</v>
      </c>
      <c r="AA22" s="14">
        <f>SUMIFS(Task_hours!$H$4:$H$997, Task_hours!$E$4:$E$997, Z$16, Task_hours!$G$4:$G$997, $A22)</f>
        <v>0</v>
      </c>
      <c r="AB22" s="14">
        <f>SUMIFS(Task_hours!$H$4:$H$997, Task_hours!$E$4:$E$997, AB$16, Task_hours!$F$4:$F$997, $A22)</f>
        <v>0</v>
      </c>
      <c r="AC22" s="14">
        <f>SUMIFS(Task_hours!$H$4:$H$997, Task_hours!$E$4:$E$997, AB$16, Task_hours!$G$4:$G$997, $A22)</f>
        <v>0</v>
      </c>
      <c r="AD22" s="14">
        <f>SUMIFS(Task_hours!$H$4:$H$997, Task_hours!$E$4:$E$997, AD$16, Task_hours!$F$4:$F$997, $A22)</f>
        <v>0</v>
      </c>
      <c r="AE22" s="14">
        <f>SUMIFS(Task_hours!$H$4:$H$997, Task_hours!$E$4:$E$997, AD$16, Task_hours!$G$4:$G$997, $A22)</f>
        <v>3</v>
      </c>
      <c r="AF22" s="14">
        <f>SUMIFS(Task_hours!$H$4:$H$997, Task_hours!$E$4:$E$997, AF$16, Task_hours!$F$4:$F$997, $A22)</f>
        <v>0</v>
      </c>
      <c r="AG22" s="14">
        <f>SUMIFS(Task_hours!$H$4:$H$997, Task_hours!$E$4:$E$997, AF$16, Task_hours!$G$4:$G$997, $A22)</f>
        <v>0</v>
      </c>
      <c r="AH22" s="14">
        <f>SUMIFS(Task_hours!$H$4:$H$997, Task_hours!$E$4:$E$997, AH$16, Task_hours!$F$4:$F$997, $A22)</f>
        <v>0</v>
      </c>
      <c r="AI22" s="14">
        <f>SUMIFS(Task_hours!$H$4:$H$997, Task_hours!$E$4:$E$997, AH$16, Task_hours!$G$4:$G$997, $A22)</f>
        <v>0</v>
      </c>
      <c r="AJ22" s="14">
        <f>SUMIFS(Task_hours!$H$4:$H$997, Task_hours!$E$4:$E$997, AJ$16, Task_hours!$F$4:$F$997, $A22)</f>
        <v>2</v>
      </c>
      <c r="AK22" s="14">
        <f>SUMIFS(Task_hours!$H$4:$H$997, Task_hours!$E$4:$E$997, AJ$16, Task_hours!$G$4:$G$997, $A22)</f>
        <v>0</v>
      </c>
      <c r="AL22" s="14">
        <f>SUMIFS(Task_hours!$H$4:$H$997, Task_hours!$E$4:$E$997, AL$16, Task_hours!$F$4:$F$997, $A22)</f>
        <v>0</v>
      </c>
      <c r="AM22" s="14">
        <f>SUMIFS(Task_hours!$H$4:$H$997, Task_hours!$E$4:$E$997, AL$16, Task_hours!$G$4:$G$997, $A22)</f>
        <v>0</v>
      </c>
      <c r="AN22" s="14">
        <f>SUMIFS(Task_hours!$H$4:$H$997, Task_hours!$E$4:$E$997, AN$16, Task_hours!$F$4:$F$997, $A22)</f>
        <v>0</v>
      </c>
      <c r="AO22" s="14">
        <f>SUMIFS(Task_hours!$H$4:$H$997, Task_hours!$E$4:$E$997, AN$16, Task_hours!$G$4:$G$997, $A22)</f>
        <v>0</v>
      </c>
      <c r="AP22" s="14">
        <f>SUMIFS(Task_hours!$H$4:$H$997, Task_hours!$E$4:$E$997, AP$16, Task_hours!$F$4:$F$997, $A22)</f>
        <v>0</v>
      </c>
      <c r="AQ22" s="14">
        <f>SUMIFS(Task_hours!$H$4:$H$997, Task_hours!$E$4:$E$997, AP$16, Task_hours!$G$4:$G$997, $A22)</f>
        <v>0</v>
      </c>
      <c r="AR22" s="14">
        <f>SUMIFS(Task_hours!$H$4:$H$997, Task_hours!$E$4:$E$997, AR$16, Task_hours!$F$4:$F$997, $A22)</f>
        <v>0</v>
      </c>
      <c r="AS22" s="14">
        <f>SUMIFS(Task_hours!$H$4:$H$997, Task_hours!$E$4:$E$997, AR$16, Task_hours!$G$4:$G$997, $A22)</f>
        <v>0</v>
      </c>
      <c r="AT22" s="14">
        <f>SUMIFS(Task_hours!$H$4:$H$997, Task_hours!$E$4:$E$997, AT$16, Task_hours!$F$4:$F$997, $A22)</f>
        <v>0</v>
      </c>
      <c r="AU22" s="14">
        <f>SUMIFS(Task_hours!$H$4:$H$997, Task_hours!$E$4:$E$997, AT$16, Task_hours!$G$4:$G$997, $A22)</f>
        <v>0</v>
      </c>
      <c r="AV22" s="14">
        <f>SUMIFS(Task_hours!$H$4:$H$997, Task_hours!$E$4:$E$997, AV$16, Task_hours!$F$4:$F$997, $A22)</f>
        <v>0</v>
      </c>
      <c r="AW22" s="14">
        <f>SUMIFS(Task_hours!$H$4:$H$997, Task_hours!$E$4:$E$997, AV$16, Task_hours!$G$4:$G$997, $A22)</f>
        <v>0</v>
      </c>
      <c r="AX22" s="14">
        <f>SUMIFS(Task_hours!$H$4:$H$997, Task_hours!$E$4:$E$997, AX$16, Task_hours!$F$4:$F$997, $A22)</f>
        <v>0</v>
      </c>
      <c r="AY22" s="14">
        <f>SUMIFS(Task_hours!$H$4:$H$997, Task_hours!$E$4:$E$997, AX$16, Task_hours!$G$4:$G$997, $A22)</f>
        <v>0</v>
      </c>
    </row>
    <row r="23" spans="1:51">
      <c r="A23" s="79" t="s">
        <v>70</v>
      </c>
      <c r="B23" s="34">
        <f>SUMIFS(Tasks!$H$3:$H1004, Tasks!$F$3:$F1004, $A23, Tasks!$B$3:$B1004, $A$15, Tasks!$K$3:$K1004, "Backlog")</f>
        <v>0</v>
      </c>
      <c r="C23" s="86">
        <f>SUMIFS(Tasks!$H$3:$H1004, Tasks!$G$3:$G1004, $A23, Tasks!$B$3:$B1004, $A$15, Tasks!$K$3:$K1004, "Backlog")</f>
        <v>0</v>
      </c>
      <c r="D23" s="34">
        <f>SUMIFS(Tasks!$H$3:$H1004, Tasks!$F$3:$F1004, $A23, Tasks!$B$3:$B1004, $A$15, Tasks!$K$3:$K1004, "Progress")-SUMIFS(Tasks!$I$3:$I1004, Tasks!$F$3:$F1004, $A23, Tasks!$B$3:$B1004, $A$15, Tasks!$K$3:$K1004, "Progress")</f>
        <v>0</v>
      </c>
      <c r="E23" s="86">
        <f>SUMIFS(Tasks!$H$3:$H1004, Tasks!$G$3:$G1004, $A23, Tasks!$B$3:$B1004, $A$15, Tasks!$K$3:$K1004, "Progress")-SUMIFS(Tasks!$I$3:$I1004, Tasks!$G$3:$G1004, $A23, Tasks!$B$3:$B1004, $A$15, Tasks!$K$3:$K1004, "Progress")</f>
        <v>0</v>
      </c>
      <c r="F23" s="34">
        <f t="shared" ref="F23:G23" si="31">H23+B23</f>
        <v>11.5</v>
      </c>
      <c r="G23" s="86">
        <f t="shared" si="31"/>
        <v>8.5</v>
      </c>
      <c r="H23" s="14">
        <f t="shared" ref="H23:I23" si="32">SUM(J23,L23,N23,P23,R23,T23,V23,X23,Z23,AB23,AD23,AF23,AH23,AJ23)</f>
        <v>11.5</v>
      </c>
      <c r="I23" s="81">
        <f t="shared" si="32"/>
        <v>8.5</v>
      </c>
      <c r="J23" s="14">
        <f>SUMIFS(Task_hours!$H$4:$H$997, Task_hours!$E$4:$E$997, J$16, Task_hours!$F$4:$F$997, $A23)</f>
        <v>0</v>
      </c>
      <c r="K23" s="14">
        <f>SUMIFS(Task_hours!$H$4:$H$997, Task_hours!$E$4:$E$997, J$16, Task_hours!$G$4:$G$997, $A23)</f>
        <v>0</v>
      </c>
      <c r="L23" s="14">
        <f>SUMIFS(Task_hours!$H$4:$H$997, Task_hours!$E$4:$E$997, L$16, Task_hours!$F$4:$F$997, $A23)</f>
        <v>0</v>
      </c>
      <c r="M23" s="14">
        <f>SUMIFS(Task_hours!$H$4:$H$997, Task_hours!$E$4:$E$997, L$16, Task_hours!$G$4:$G$997, $A23)</f>
        <v>0</v>
      </c>
      <c r="N23" s="14">
        <f>SUMIFS(Task_hours!$H$4:$H$997, Task_hours!$E$4:$E$997, N$16, Task_hours!$F$4:$F$997, $A23)</f>
        <v>0</v>
      </c>
      <c r="O23" s="14">
        <f>SUMIFS(Task_hours!$H$4:$H$997, Task_hours!$E$4:$E$997, N$16, Task_hours!$G$4:$G$997, $A23)</f>
        <v>0</v>
      </c>
      <c r="P23" s="14">
        <f>SUMIFS(Task_hours!$H$4:$H$997, Task_hours!$E$4:$E$997, P$16, Task_hours!$F$4:$F$997, $A23)</f>
        <v>0</v>
      </c>
      <c r="Q23" s="14">
        <f>SUMIFS(Task_hours!$H$4:$H$997, Task_hours!$E$4:$E$997, P$16, Task_hours!$G$4:$G$997, $A23)</f>
        <v>0</v>
      </c>
      <c r="R23" s="14">
        <f>SUMIFS(Task_hours!$H$4:$H$997, Task_hours!$E$4:$E$997, R$16, Task_hours!$F$4:$F$997, $A23)</f>
        <v>0</v>
      </c>
      <c r="S23" s="14">
        <f>SUMIFS(Task_hours!$H$4:$H$997, Task_hours!$E$4:$E$997, R$16, Task_hours!$G$4:$G$997, $A23)</f>
        <v>0</v>
      </c>
      <c r="T23" s="14">
        <f>SUMIFS(Task_hours!$H$4:$H$997, Task_hours!$E$4:$E$997, T$16, Task_hours!$F$4:$F$997, $A23)</f>
        <v>0</v>
      </c>
      <c r="U23" s="14">
        <f>SUMIFS(Task_hours!$H$4:$H$997, Task_hours!$E$4:$E$997, T$16, Task_hours!$G$4:$G$997, $A23)</f>
        <v>0</v>
      </c>
      <c r="V23" s="14">
        <f>SUMIFS(Task_hours!$H$4:$H$997, Task_hours!$E$4:$E$997, V$16, Task_hours!$F$4:$F$997, $A23)</f>
        <v>0</v>
      </c>
      <c r="W23" s="14">
        <f>SUMIFS(Task_hours!$H$4:$H$997, Task_hours!$E$4:$E$997, V$16, Task_hours!$G$4:$G$997, $A23)</f>
        <v>0</v>
      </c>
      <c r="X23" s="14">
        <f>SUMIFS(Task_hours!$H$4:$H$997, Task_hours!$E$4:$E$997, X$16, Task_hours!$F$4:$F$997, $A23)</f>
        <v>2</v>
      </c>
      <c r="Y23" s="14">
        <f>SUMIFS(Task_hours!$H$4:$H$997, Task_hours!$E$4:$E$997, X$16, Task_hours!$G$4:$G$997, $A23)</f>
        <v>0</v>
      </c>
      <c r="Z23" s="14">
        <f>SUMIFS(Task_hours!$H$4:$H$997, Task_hours!$E$4:$E$997, Z$16, Task_hours!$F$4:$F$997, $A23)</f>
        <v>0</v>
      </c>
      <c r="AA23" s="14">
        <f>SUMIFS(Task_hours!$H$4:$H$997, Task_hours!$E$4:$E$997, Z$16, Task_hours!$G$4:$G$997, $A23)</f>
        <v>0</v>
      </c>
      <c r="AB23" s="14">
        <f>SUMIFS(Task_hours!$H$4:$H$997, Task_hours!$E$4:$E$997, AB$16, Task_hours!$F$4:$F$997, $A23)</f>
        <v>8</v>
      </c>
      <c r="AC23" s="14">
        <f>SUMIFS(Task_hours!$H$4:$H$997, Task_hours!$E$4:$E$997, AB$16, Task_hours!$G$4:$G$997, $A23)</f>
        <v>0</v>
      </c>
      <c r="AD23" s="14">
        <f>SUMIFS(Task_hours!$H$4:$H$997, Task_hours!$E$4:$E$997, AD$16, Task_hours!$F$4:$F$997, $A23)</f>
        <v>0</v>
      </c>
      <c r="AE23" s="14">
        <f>SUMIFS(Task_hours!$H$4:$H$997, Task_hours!$E$4:$E$997, AD$16, Task_hours!$G$4:$G$997, $A23)</f>
        <v>5.5</v>
      </c>
      <c r="AF23" s="14">
        <f>SUMIFS(Task_hours!$H$4:$H$997, Task_hours!$E$4:$E$997, AF$16, Task_hours!$F$4:$F$997, $A23)</f>
        <v>1.5</v>
      </c>
      <c r="AG23" s="14">
        <f>SUMIFS(Task_hours!$H$4:$H$997, Task_hours!$E$4:$E$997, AF$16, Task_hours!$G$4:$G$997, $A23)</f>
        <v>0</v>
      </c>
      <c r="AH23" s="14">
        <f>SUMIFS(Task_hours!$H$4:$H$997, Task_hours!$E$4:$E$997, AH$16, Task_hours!$F$4:$F$997, $A23)</f>
        <v>0</v>
      </c>
      <c r="AI23" s="14">
        <f>SUMIFS(Task_hours!$H$4:$H$997, Task_hours!$E$4:$E$997, AH$16, Task_hours!$G$4:$G$997, $A23)</f>
        <v>3</v>
      </c>
      <c r="AJ23" s="14">
        <f>SUMIFS(Task_hours!$H$4:$H$997, Task_hours!$E$4:$E$997, AJ$16, Task_hours!$F$4:$F$997, $A23)</f>
        <v>0</v>
      </c>
      <c r="AK23" s="14">
        <f>SUMIFS(Task_hours!$H$4:$H$997, Task_hours!$E$4:$E$997, AJ$16, Task_hours!$G$4:$G$997, $A23)</f>
        <v>0</v>
      </c>
      <c r="AL23" s="14">
        <f>SUMIFS(Task_hours!$H$4:$H$997, Task_hours!$E$4:$E$997, AL$16, Task_hours!$F$4:$F$997, $A23)</f>
        <v>0</v>
      </c>
      <c r="AM23" s="14">
        <f>SUMIFS(Task_hours!$H$4:$H$997, Task_hours!$E$4:$E$997, AL$16, Task_hours!$G$4:$G$997, $A23)</f>
        <v>0</v>
      </c>
      <c r="AN23" s="14">
        <f>SUMIFS(Task_hours!$H$4:$H$997, Task_hours!$E$4:$E$997, AN$16, Task_hours!$F$4:$F$997, $A23)</f>
        <v>0</v>
      </c>
      <c r="AO23" s="14">
        <f>SUMIFS(Task_hours!$H$4:$H$997, Task_hours!$E$4:$E$997, AN$16, Task_hours!$G$4:$G$997, $A23)</f>
        <v>0</v>
      </c>
      <c r="AP23" s="14">
        <f>SUMIFS(Task_hours!$H$4:$H$997, Task_hours!$E$4:$E$997, AP$16, Task_hours!$F$4:$F$997, $A23)</f>
        <v>0</v>
      </c>
      <c r="AQ23" s="14">
        <f>SUMIFS(Task_hours!$H$4:$H$997, Task_hours!$E$4:$E$997, AP$16, Task_hours!$G$4:$G$997, $A23)</f>
        <v>0</v>
      </c>
      <c r="AR23" s="14">
        <f>SUMIFS(Task_hours!$H$4:$H$997, Task_hours!$E$4:$E$997, AR$16, Task_hours!$F$4:$F$997, $A23)</f>
        <v>0</v>
      </c>
      <c r="AS23" s="14">
        <f>SUMIFS(Task_hours!$H$4:$H$997, Task_hours!$E$4:$E$997, AR$16, Task_hours!$G$4:$G$997, $A23)</f>
        <v>0</v>
      </c>
      <c r="AT23" s="14">
        <f>SUMIFS(Task_hours!$H$4:$H$997, Task_hours!$E$4:$E$997, AT$16, Task_hours!$F$4:$F$997, $A23)</f>
        <v>0</v>
      </c>
      <c r="AU23" s="14">
        <f>SUMIFS(Task_hours!$H$4:$H$997, Task_hours!$E$4:$E$997, AT$16, Task_hours!$G$4:$G$997, $A23)</f>
        <v>0</v>
      </c>
      <c r="AV23" s="14">
        <f>SUMIFS(Task_hours!$H$4:$H$997, Task_hours!$E$4:$E$997, AV$16, Task_hours!$F$4:$F$997, $A23)</f>
        <v>0</v>
      </c>
      <c r="AW23" s="14">
        <f>SUMIFS(Task_hours!$H$4:$H$997, Task_hours!$E$4:$E$997, AV$16, Task_hours!$G$4:$G$997, $A23)</f>
        <v>0</v>
      </c>
      <c r="AX23" s="14">
        <f>SUMIFS(Task_hours!$H$4:$H$997, Task_hours!$E$4:$E$997, AX$16, Task_hours!$F$4:$F$997, $A23)</f>
        <v>0</v>
      </c>
      <c r="AY23" s="14">
        <f>SUMIFS(Task_hours!$H$4:$H$997, Task_hours!$E$4:$E$997, AX$16, Task_hours!$G$4:$G$997, $A23)</f>
        <v>0</v>
      </c>
    </row>
    <row r="24" spans="1:51">
      <c r="A24" s="79" t="s">
        <v>52</v>
      </c>
      <c r="B24" s="35">
        <f>SUMIFS(Tasks!$H$3:$H1004, Tasks!$F$3:$F1004, $A24, Tasks!$B$3:$B1004, $A$15, Tasks!$K$3:$K1004, "Backlog")</f>
        <v>0</v>
      </c>
      <c r="C24" s="85">
        <f>SUMIFS(Tasks!$H$3:$H1004, Tasks!$G$3:$G1004, $A24, Tasks!$B$3:$B1004, $A$15, Tasks!$K$3:$K1004, "Backlog")</f>
        <v>0</v>
      </c>
      <c r="D24" s="35">
        <f>SUMIFS(Tasks!$H$3:$H1004, Tasks!$F$3:$F1004, $A24, Tasks!$B$3:$B1004, $A$15, Tasks!$K$3:$K1004, "Progress")-SUMIFS(Tasks!$I$3:$I1004, Tasks!$F$3:$F1004, $A24, Tasks!$B$3:$B1004, $A$15, Tasks!$K$3:$K1004, "Progress")</f>
        <v>0</v>
      </c>
      <c r="E24" s="85">
        <f>SUMIFS(Tasks!$H$3:$H1004, Tasks!$G$3:$G1004, $A24, Tasks!$B$3:$B1004, $A$15, Tasks!$K$3:$K1004, "Progress")-SUMIFS(Tasks!$I$3:$I1004, Tasks!$G$3:$G1004, $A24, Tasks!$B$3:$B1004, $A$15, Tasks!$K$3:$K1004, "Progress")</f>
        <v>0</v>
      </c>
      <c r="F24" s="35">
        <f t="shared" ref="F24:G24" si="33">H24+B24</f>
        <v>12.5</v>
      </c>
      <c r="G24" s="85">
        <f t="shared" si="33"/>
        <v>10.5</v>
      </c>
      <c r="H24" s="14">
        <f t="shared" ref="H24:I24" si="34">SUM(J24,L24,N24,P24,R24,T24,V24,X24,Z24,AB24,AD24,AF24,AH24,AJ24)</f>
        <v>12.5</v>
      </c>
      <c r="I24" s="81">
        <f t="shared" si="34"/>
        <v>10.5</v>
      </c>
      <c r="J24" s="14">
        <f>SUMIFS(Task_hours!$H$4:$H$997, Task_hours!$E$4:$E$997, J$16, Task_hours!$F$4:$F$997, $A24)</f>
        <v>0</v>
      </c>
      <c r="K24" s="14">
        <f>SUMIFS(Task_hours!$H$4:$H$997, Task_hours!$E$4:$E$997, J$16, Task_hours!$G$4:$G$997, $A24)</f>
        <v>0</v>
      </c>
      <c r="L24" s="14">
        <f>SUMIFS(Task_hours!$H$4:$H$997, Task_hours!$E$4:$E$997, L$16, Task_hours!$F$4:$F$997, $A24)</f>
        <v>0</v>
      </c>
      <c r="M24" s="14">
        <f>SUMIFS(Task_hours!$H$4:$H$997, Task_hours!$E$4:$E$997, L$16, Task_hours!$G$4:$G$997, $A24)</f>
        <v>0</v>
      </c>
      <c r="N24" s="14">
        <f>SUMIFS(Task_hours!$H$4:$H$997, Task_hours!$E$4:$E$997, N$16, Task_hours!$F$4:$F$997, $A24)</f>
        <v>0</v>
      </c>
      <c r="O24" s="14">
        <f>SUMIFS(Task_hours!$H$4:$H$997, Task_hours!$E$4:$E$997, N$16, Task_hours!$G$4:$G$997, $A24)</f>
        <v>0</v>
      </c>
      <c r="P24" s="14">
        <f>SUMIFS(Task_hours!$H$4:$H$997, Task_hours!$E$4:$E$997, P$16, Task_hours!$F$4:$F$997, $A24)</f>
        <v>0</v>
      </c>
      <c r="Q24" s="14">
        <f>SUMIFS(Task_hours!$H$4:$H$997, Task_hours!$E$4:$E$997, P$16, Task_hours!$G$4:$G$997, $A24)</f>
        <v>0</v>
      </c>
      <c r="R24" s="14">
        <f>SUMIFS(Task_hours!$H$4:$H$997, Task_hours!$E$4:$E$997, R$16, Task_hours!$F$4:$F$997, $A24)</f>
        <v>0</v>
      </c>
      <c r="S24" s="14">
        <f>SUMIFS(Task_hours!$H$4:$H$997, Task_hours!$E$4:$E$997, R$16, Task_hours!$G$4:$G$997, $A24)</f>
        <v>0</v>
      </c>
      <c r="T24" s="14">
        <f>SUMIFS(Task_hours!$H$4:$H$997, Task_hours!$E$4:$E$997, T$16, Task_hours!$F$4:$F$997, $A24)</f>
        <v>0</v>
      </c>
      <c r="U24" s="14">
        <f>SUMIFS(Task_hours!$H$4:$H$997, Task_hours!$E$4:$E$997, T$16, Task_hours!$G$4:$G$997, $A24)</f>
        <v>0</v>
      </c>
      <c r="V24" s="14">
        <f>SUMIFS(Task_hours!$H$4:$H$997, Task_hours!$E$4:$E$997, V$16, Task_hours!$F$4:$F$997, $A24)</f>
        <v>0</v>
      </c>
      <c r="W24" s="14">
        <f>SUMIFS(Task_hours!$H$4:$H$997, Task_hours!$E$4:$E$997, V$16, Task_hours!$G$4:$G$997, $A24)</f>
        <v>3.5</v>
      </c>
      <c r="X24" s="14">
        <f>SUMIFS(Task_hours!$H$4:$H$997, Task_hours!$E$4:$E$997, X$16, Task_hours!$F$4:$F$997, $A24)</f>
        <v>0</v>
      </c>
      <c r="Y24" s="14">
        <f>SUMIFS(Task_hours!$H$4:$H$997, Task_hours!$E$4:$E$997, X$16, Task_hours!$G$4:$G$997, $A24)</f>
        <v>0</v>
      </c>
      <c r="Z24" s="14">
        <f>SUMIFS(Task_hours!$H$4:$H$997, Task_hours!$E$4:$E$997, Z$16, Task_hours!$F$4:$F$997, $A24)</f>
        <v>0</v>
      </c>
      <c r="AA24" s="14">
        <f>SUMIFS(Task_hours!$H$4:$H$997, Task_hours!$E$4:$E$997, Z$16, Task_hours!$G$4:$G$997, $A24)</f>
        <v>0</v>
      </c>
      <c r="AB24" s="14">
        <f>SUMIFS(Task_hours!$H$4:$H$997, Task_hours!$E$4:$E$997, AB$16, Task_hours!$F$4:$F$997, $A24)</f>
        <v>0</v>
      </c>
      <c r="AC24" s="14">
        <f>SUMIFS(Task_hours!$H$4:$H$997, Task_hours!$E$4:$E$997, AB$16, Task_hours!$G$4:$G$997, $A24)</f>
        <v>0</v>
      </c>
      <c r="AD24" s="14">
        <f>SUMIFS(Task_hours!$H$4:$H$997, Task_hours!$E$4:$E$997, AD$16, Task_hours!$F$4:$F$997, $A24)</f>
        <v>9</v>
      </c>
      <c r="AE24" s="14">
        <f>SUMIFS(Task_hours!$H$4:$H$997, Task_hours!$E$4:$E$997, AD$16, Task_hours!$G$4:$G$997, $A24)</f>
        <v>5</v>
      </c>
      <c r="AF24" s="14">
        <f>SUMIFS(Task_hours!$H$4:$H$997, Task_hours!$E$4:$E$997, AF$16, Task_hours!$F$4:$F$997, $A24)</f>
        <v>0</v>
      </c>
      <c r="AG24" s="14">
        <f>SUMIFS(Task_hours!$H$4:$H$997, Task_hours!$E$4:$E$997, AF$16, Task_hours!$G$4:$G$997, $A24)</f>
        <v>2</v>
      </c>
      <c r="AH24" s="14">
        <f>SUMIFS(Task_hours!$H$4:$H$997, Task_hours!$E$4:$E$997, AH$16, Task_hours!$F$4:$F$997, $A24)</f>
        <v>1.5</v>
      </c>
      <c r="AI24" s="14">
        <f>SUMIFS(Task_hours!$H$4:$H$997, Task_hours!$E$4:$E$997, AH$16, Task_hours!$G$4:$G$997, $A24)</f>
        <v>0</v>
      </c>
      <c r="AJ24" s="14">
        <f>SUMIFS(Task_hours!$H$4:$H$997, Task_hours!$E$4:$E$997, AJ$16, Task_hours!$F$4:$F$997, $A24)</f>
        <v>2</v>
      </c>
      <c r="AK24" s="14">
        <f>SUMIFS(Task_hours!$H$4:$H$997, Task_hours!$E$4:$E$997, AJ$16, Task_hours!$G$4:$G$997, $A24)</f>
        <v>0</v>
      </c>
      <c r="AL24" s="14">
        <f>SUMIFS(Task_hours!$H$4:$H$997, Task_hours!$E$4:$E$997, AL$16, Task_hours!$F$4:$F$997, $A24)</f>
        <v>0</v>
      </c>
      <c r="AM24" s="14">
        <f>SUMIFS(Task_hours!$H$4:$H$997, Task_hours!$E$4:$E$997, AL$16, Task_hours!$G$4:$G$997, $A24)</f>
        <v>0</v>
      </c>
      <c r="AN24" s="14">
        <f>SUMIFS(Task_hours!$H$4:$H$997, Task_hours!$E$4:$E$997, AN$16, Task_hours!$F$4:$F$997, $A24)</f>
        <v>0</v>
      </c>
      <c r="AO24" s="14">
        <f>SUMIFS(Task_hours!$H$4:$H$997, Task_hours!$E$4:$E$997, AN$16, Task_hours!$G$4:$G$997, $A24)</f>
        <v>0</v>
      </c>
      <c r="AP24" s="14">
        <f>SUMIFS(Task_hours!$H$4:$H$997, Task_hours!$E$4:$E$997, AP$16, Task_hours!$F$4:$F$997, $A24)</f>
        <v>0</v>
      </c>
      <c r="AQ24" s="14">
        <f>SUMIFS(Task_hours!$H$4:$H$997, Task_hours!$E$4:$E$997, AP$16, Task_hours!$G$4:$G$997, $A24)</f>
        <v>0</v>
      </c>
      <c r="AR24" s="14">
        <f>SUMIFS(Task_hours!$H$4:$H$997, Task_hours!$E$4:$E$997, AR$16, Task_hours!$F$4:$F$997, $A24)</f>
        <v>0</v>
      </c>
      <c r="AS24" s="14">
        <f>SUMIFS(Task_hours!$H$4:$H$997, Task_hours!$E$4:$E$997, AR$16, Task_hours!$G$4:$G$997, $A24)</f>
        <v>0</v>
      </c>
      <c r="AT24" s="14">
        <f>SUMIFS(Task_hours!$H$4:$H$997, Task_hours!$E$4:$E$997, AT$16, Task_hours!$F$4:$F$997, $A24)</f>
        <v>0</v>
      </c>
      <c r="AU24" s="14">
        <f>SUMIFS(Task_hours!$H$4:$H$997, Task_hours!$E$4:$E$997, AT$16, Task_hours!$G$4:$G$997, $A24)</f>
        <v>0</v>
      </c>
      <c r="AV24" s="14">
        <f>SUMIFS(Task_hours!$H$4:$H$997, Task_hours!$E$4:$E$997, AV$16, Task_hours!$F$4:$F$997, $A24)</f>
        <v>0</v>
      </c>
      <c r="AW24" s="14">
        <f>SUMIFS(Task_hours!$H$4:$H$997, Task_hours!$E$4:$E$997, AV$16, Task_hours!$G$4:$G$997, $A24)</f>
        <v>0</v>
      </c>
      <c r="AX24" s="14">
        <f>SUMIFS(Task_hours!$H$4:$H$997, Task_hours!$E$4:$E$997, AX$16, Task_hours!$F$4:$F$997, $A24)</f>
        <v>0</v>
      </c>
      <c r="AY24" s="14">
        <f>SUMIFS(Task_hours!$H$4:$H$997, Task_hours!$E$4:$E$997, AX$16, Task_hours!$G$4:$G$997, $A24)</f>
        <v>0</v>
      </c>
    </row>
    <row r="25" spans="1:51">
      <c r="A25" s="79" t="s">
        <v>46</v>
      </c>
      <c r="B25" s="34">
        <f>SUMIFS(Tasks!$H$3:$H1004, Tasks!$F$3:$F1004, $A25, Tasks!$B$3:$B1004, $A$15, Tasks!$K$3:$K1004, "Backlog")</f>
        <v>0</v>
      </c>
      <c r="C25" s="86">
        <f>SUMIFS(Tasks!$H$3:$H1004, Tasks!$G$3:$G1004, $A25, Tasks!$B$3:$B1004, $A$15, Tasks!$K$3:$K1004, "Backlog")</f>
        <v>0</v>
      </c>
      <c r="D25" s="34">
        <f>SUMIFS(Tasks!$H$3:$H1004, Tasks!$F$3:$F1004, $A25, Tasks!$B$3:$B1004, $A$15, Tasks!$K$3:$K1004, "Progress")-SUMIFS(Tasks!$I$3:$I1004, Tasks!$F$3:$F1004, $A25, Tasks!$B$3:$B1004, $A$15, Tasks!$K$3:$K1004, "Progress")</f>
        <v>0</v>
      </c>
      <c r="E25" s="86">
        <f>SUMIFS(Tasks!$H$3:$H1004, Tasks!$G$3:$G1004, $A25, Tasks!$B$3:$B1004, $A$15, Tasks!$K$3:$K1004, "Progress")-SUMIFS(Tasks!$I$3:$I1004, Tasks!$G$3:$G1004, $A25, Tasks!$B$3:$B1004, $A$15, Tasks!$K$3:$K1004, "Progress")</f>
        <v>0</v>
      </c>
      <c r="F25" s="34">
        <f t="shared" ref="F25:G25" si="35">H25+B25</f>
        <v>10.5</v>
      </c>
      <c r="G25" s="86">
        <f t="shared" si="35"/>
        <v>0</v>
      </c>
      <c r="H25" s="14">
        <f t="shared" ref="H25:I25" si="36">SUM(J25,L25,N25,P25,R25,T25,V25,X25,Z25,AB25,AD25,AF25,AH25,AJ25)</f>
        <v>10.5</v>
      </c>
      <c r="I25" s="81">
        <f t="shared" si="36"/>
        <v>0</v>
      </c>
      <c r="J25" s="14">
        <f>SUMIFS(Task_hours!$H$4:$H$997, Task_hours!$E$4:$E$997, J$16, Task_hours!$F$4:$F$997, $A25)</f>
        <v>0</v>
      </c>
      <c r="K25" s="14">
        <f>SUMIFS(Task_hours!$H$4:$H$997, Task_hours!$E$4:$E$997, J$16, Task_hours!$G$4:$G$997, $A25)</f>
        <v>0</v>
      </c>
      <c r="L25" s="14">
        <f>SUMIFS(Task_hours!$H$4:$H$997, Task_hours!$E$4:$E$997, L$16, Task_hours!$F$4:$F$997, $A25)</f>
        <v>3</v>
      </c>
      <c r="M25" s="14">
        <f>SUMIFS(Task_hours!$H$4:$H$997, Task_hours!$E$4:$E$997, L$16, Task_hours!$G$4:$G$997, $A25)</f>
        <v>0</v>
      </c>
      <c r="N25" s="14">
        <f>SUMIFS(Task_hours!$H$4:$H$997, Task_hours!$E$4:$E$997, N$16, Task_hours!$F$4:$F$997, $A25)</f>
        <v>1.5</v>
      </c>
      <c r="O25" s="14">
        <f>SUMIFS(Task_hours!$H$4:$H$997, Task_hours!$E$4:$E$997, N$16, Task_hours!$G$4:$G$997, $A25)</f>
        <v>0</v>
      </c>
      <c r="P25" s="14">
        <f>SUMIFS(Task_hours!$H$4:$H$997, Task_hours!$E$4:$E$997, P$16, Task_hours!$F$4:$F$997, $A25)</f>
        <v>0</v>
      </c>
      <c r="Q25" s="14">
        <f>SUMIFS(Task_hours!$H$4:$H$997, Task_hours!$E$4:$E$997, P$16, Task_hours!$G$4:$G$997, $A25)</f>
        <v>0</v>
      </c>
      <c r="R25" s="14">
        <f>SUMIFS(Task_hours!$H$4:$H$997, Task_hours!$E$4:$E$997, R$16, Task_hours!$F$4:$F$997, $A25)</f>
        <v>0</v>
      </c>
      <c r="S25" s="14">
        <f>SUMIFS(Task_hours!$H$4:$H$997, Task_hours!$E$4:$E$997, R$16, Task_hours!$G$4:$G$997, $A25)</f>
        <v>0</v>
      </c>
      <c r="T25" s="14">
        <f>SUMIFS(Task_hours!$H$4:$H$997, Task_hours!$E$4:$E$997, T$16, Task_hours!$F$4:$F$997, $A25)</f>
        <v>0</v>
      </c>
      <c r="U25" s="14">
        <f>SUMIFS(Task_hours!$H$4:$H$997, Task_hours!$E$4:$E$997, T$16, Task_hours!$G$4:$G$997, $A25)</f>
        <v>0</v>
      </c>
      <c r="V25" s="14">
        <f>SUMIFS(Task_hours!$H$4:$H$997, Task_hours!$E$4:$E$997, V$16, Task_hours!$F$4:$F$997, $A25)</f>
        <v>0</v>
      </c>
      <c r="W25" s="14">
        <f>SUMIFS(Task_hours!$H$4:$H$997, Task_hours!$E$4:$E$997, V$16, Task_hours!$G$4:$G$997, $A25)</f>
        <v>0</v>
      </c>
      <c r="X25" s="14">
        <f>SUMIFS(Task_hours!$H$4:$H$997, Task_hours!$E$4:$E$997, X$16, Task_hours!$F$4:$F$997, $A25)</f>
        <v>1.5</v>
      </c>
      <c r="Y25" s="14">
        <f>SUMIFS(Task_hours!$H$4:$H$997, Task_hours!$E$4:$E$997, X$16, Task_hours!$G$4:$G$997, $A25)</f>
        <v>0</v>
      </c>
      <c r="Z25" s="14">
        <f>SUMIFS(Task_hours!$H$4:$H$997, Task_hours!$E$4:$E$997, Z$16, Task_hours!$F$4:$F$997, $A25)</f>
        <v>0</v>
      </c>
      <c r="AA25" s="14">
        <f>SUMIFS(Task_hours!$H$4:$H$997, Task_hours!$E$4:$E$997, Z$16, Task_hours!$G$4:$G$997, $A25)</f>
        <v>0</v>
      </c>
      <c r="AB25" s="14">
        <f>SUMIFS(Task_hours!$H$4:$H$997, Task_hours!$E$4:$E$997, AB$16, Task_hours!$F$4:$F$997, $A25)</f>
        <v>0</v>
      </c>
      <c r="AC25" s="14">
        <f>SUMIFS(Task_hours!$H$4:$H$997, Task_hours!$E$4:$E$997, AB$16, Task_hours!$G$4:$G$997, $A25)</f>
        <v>0</v>
      </c>
      <c r="AD25" s="14">
        <f>SUMIFS(Task_hours!$H$4:$H$997, Task_hours!$E$4:$E$997, AD$16, Task_hours!$F$4:$F$997, $A25)</f>
        <v>0</v>
      </c>
      <c r="AE25" s="14">
        <f>SUMIFS(Task_hours!$H$4:$H$997, Task_hours!$E$4:$E$997, AD$16, Task_hours!$G$4:$G$997, $A25)</f>
        <v>0</v>
      </c>
      <c r="AF25" s="14">
        <f>SUMIFS(Task_hours!$H$4:$H$997, Task_hours!$E$4:$E$997, AF$16, Task_hours!$F$4:$F$997, $A25)</f>
        <v>2</v>
      </c>
      <c r="AG25" s="14">
        <f>SUMIFS(Task_hours!$H$4:$H$997, Task_hours!$E$4:$E$997, AF$16, Task_hours!$G$4:$G$997, $A25)</f>
        <v>0</v>
      </c>
      <c r="AH25" s="14">
        <f>SUMIFS(Task_hours!$H$4:$H$997, Task_hours!$E$4:$E$997, AH$16, Task_hours!$F$4:$F$997, $A25)</f>
        <v>1</v>
      </c>
      <c r="AI25" s="14">
        <f>SUMIFS(Task_hours!$H$4:$H$997, Task_hours!$E$4:$E$997, AH$16, Task_hours!$G$4:$G$997, $A25)</f>
        <v>0</v>
      </c>
      <c r="AJ25" s="14">
        <f>SUMIFS(Task_hours!$H$4:$H$997, Task_hours!$E$4:$E$997, AJ$16, Task_hours!$F$4:$F$997, $A25)</f>
        <v>1.5</v>
      </c>
      <c r="AK25" s="14">
        <f>SUMIFS(Task_hours!$H$4:$H$997, Task_hours!$E$4:$E$997, AJ$16, Task_hours!$G$4:$G$997, $A25)</f>
        <v>0</v>
      </c>
      <c r="AL25" s="14">
        <f>SUMIFS(Task_hours!$H$4:$H$997, Task_hours!$E$4:$E$997, AL$16, Task_hours!$F$4:$F$997, $A25)</f>
        <v>0</v>
      </c>
      <c r="AM25" s="14">
        <f>SUMIFS(Task_hours!$H$4:$H$997, Task_hours!$E$4:$E$997, AL$16, Task_hours!$G$4:$G$997, $A25)</f>
        <v>0</v>
      </c>
      <c r="AN25" s="14">
        <f>SUMIFS(Task_hours!$H$4:$H$997, Task_hours!$E$4:$E$997, AN$16, Task_hours!$F$4:$F$997, $A25)</f>
        <v>0</v>
      </c>
      <c r="AO25" s="14">
        <f>SUMIFS(Task_hours!$H$4:$H$997, Task_hours!$E$4:$E$997, AN$16, Task_hours!$G$4:$G$997, $A25)</f>
        <v>0</v>
      </c>
      <c r="AP25" s="14">
        <f>SUMIFS(Task_hours!$H$4:$H$997, Task_hours!$E$4:$E$997, AP$16, Task_hours!$F$4:$F$997, $A25)</f>
        <v>0</v>
      </c>
      <c r="AQ25" s="14">
        <f>SUMIFS(Task_hours!$H$4:$H$997, Task_hours!$E$4:$E$997, AP$16, Task_hours!$G$4:$G$997, $A25)</f>
        <v>0</v>
      </c>
      <c r="AR25" s="14">
        <f>SUMIFS(Task_hours!$H$4:$H$997, Task_hours!$E$4:$E$997, AR$16, Task_hours!$F$4:$F$997, $A25)</f>
        <v>0</v>
      </c>
      <c r="AS25" s="14">
        <f>SUMIFS(Task_hours!$H$4:$H$997, Task_hours!$E$4:$E$997, AR$16, Task_hours!$G$4:$G$997, $A25)</f>
        <v>0</v>
      </c>
      <c r="AT25" s="14">
        <f>SUMIFS(Task_hours!$H$4:$H$997, Task_hours!$E$4:$E$997, AT$16, Task_hours!$F$4:$F$997, $A25)</f>
        <v>0</v>
      </c>
      <c r="AU25" s="14">
        <f>SUMIFS(Task_hours!$H$4:$H$997, Task_hours!$E$4:$E$997, AT$16, Task_hours!$G$4:$G$997, $A25)</f>
        <v>0</v>
      </c>
      <c r="AV25" s="14">
        <f>SUMIFS(Task_hours!$H$4:$H$997, Task_hours!$E$4:$E$997, AV$16, Task_hours!$F$4:$F$997, $A25)</f>
        <v>0</v>
      </c>
      <c r="AW25" s="14">
        <f>SUMIFS(Task_hours!$H$4:$H$997, Task_hours!$E$4:$E$997, AV$16, Task_hours!$G$4:$G$997, $A25)</f>
        <v>0</v>
      </c>
      <c r="AX25" s="14">
        <f>SUMIFS(Task_hours!$H$4:$H$997, Task_hours!$E$4:$E$997, AX$16, Task_hours!$F$4:$F$997, $A25)</f>
        <v>0</v>
      </c>
      <c r="AY25" s="14">
        <f>SUMIFS(Task_hours!$H$4:$H$997, Task_hours!$E$4:$E$997, AX$16, Task_hours!$G$4:$G$997, $A25)</f>
        <v>0</v>
      </c>
    </row>
    <row r="26" spans="1:51">
      <c r="A26" s="79" t="s">
        <v>63</v>
      </c>
      <c r="B26" s="35">
        <f>SUMIFS(Tasks!$H$3:$H1004, Tasks!$F$3:$F1004, $A26, Tasks!$B$3:$B1004, $A$15, Tasks!$K$3:$K1004, "Backlog")</f>
        <v>0</v>
      </c>
      <c r="C26" s="85">
        <f>SUMIFS(Tasks!$H$3:$H1004, Tasks!$G$3:$G1004, $A26, Tasks!$B$3:$B1004, $A$15, Tasks!$K$3:$K1004, "Backlog")</f>
        <v>0</v>
      </c>
      <c r="D26" s="35">
        <f>SUMIFS(Tasks!$H$3:$H1004, Tasks!$F$3:$F1004, $A26, Tasks!$B$3:$B1004, $A$15, Tasks!$K$3:$K1004, "Progress")-SUMIFS(Tasks!$I$3:$I1004, Tasks!$F$3:$F1004, $A26, Tasks!$B$3:$B1004, $A$15, Tasks!$K$3:$K1004, "Progress")</f>
        <v>0</v>
      </c>
      <c r="E26" s="85">
        <f>SUMIFS(Tasks!$H$3:$H1004, Tasks!$G$3:$G1004, $A26, Tasks!$B$3:$B1004, $A$15, Tasks!$K$3:$K1004, "Progress")-SUMIFS(Tasks!$I$3:$I1004, Tasks!$G$3:$G1004, $A26, Tasks!$B$3:$B1004, $A$15, Tasks!$K$3:$K1004, "Progress")</f>
        <v>0</v>
      </c>
      <c r="F26" s="35">
        <f t="shared" ref="F26:G26" si="37">H26+B26</f>
        <v>8</v>
      </c>
      <c r="G26" s="85">
        <f t="shared" si="37"/>
        <v>7</v>
      </c>
      <c r="H26" s="14">
        <f t="shared" ref="H26:I26" si="38">SUM(J26,L26,N26,P26,R26,T26,V26,X26,Z26,AB26,AD26,AF26,AH26,AJ26)</f>
        <v>8</v>
      </c>
      <c r="I26" s="81">
        <f t="shared" si="38"/>
        <v>7</v>
      </c>
      <c r="J26" s="14">
        <f>SUMIFS(Task_hours!$H$4:$H$997, Task_hours!$E$4:$E$997, J$16, Task_hours!$F$4:$F$997, $A26)</f>
        <v>0</v>
      </c>
      <c r="K26" s="14">
        <f>SUMIFS(Task_hours!$H$4:$H$997, Task_hours!$E$4:$E$997, J$16, Task_hours!$G$4:$G$997, $A26)</f>
        <v>0</v>
      </c>
      <c r="L26" s="14">
        <f>SUMIFS(Task_hours!$H$4:$H$997, Task_hours!$E$4:$E$997, L$16, Task_hours!$F$4:$F$997, $A26)</f>
        <v>0</v>
      </c>
      <c r="M26" s="14">
        <f>SUMIFS(Task_hours!$H$4:$H$997, Task_hours!$E$4:$E$997, L$16, Task_hours!$G$4:$G$997, $A26)</f>
        <v>0</v>
      </c>
      <c r="N26" s="14">
        <f>SUMIFS(Task_hours!$H$4:$H$997, Task_hours!$E$4:$E$997, N$16, Task_hours!$F$4:$F$997, $A26)</f>
        <v>0</v>
      </c>
      <c r="O26" s="14">
        <f>SUMIFS(Task_hours!$H$4:$H$997, Task_hours!$E$4:$E$997, N$16, Task_hours!$G$4:$G$997, $A26)</f>
        <v>0</v>
      </c>
      <c r="P26" s="14">
        <f>SUMIFS(Task_hours!$H$4:$H$997, Task_hours!$E$4:$E$997, P$16, Task_hours!$F$4:$F$997, $A26)</f>
        <v>0</v>
      </c>
      <c r="Q26" s="14">
        <f>SUMIFS(Task_hours!$H$4:$H$997, Task_hours!$E$4:$E$997, P$16, Task_hours!$G$4:$G$997, $A26)</f>
        <v>0</v>
      </c>
      <c r="R26" s="14">
        <f>SUMIFS(Task_hours!$H$4:$H$997, Task_hours!$E$4:$E$997, R$16, Task_hours!$F$4:$F$997, $A26)</f>
        <v>0</v>
      </c>
      <c r="S26" s="14">
        <f>SUMIFS(Task_hours!$H$4:$H$997, Task_hours!$E$4:$E$997, R$16, Task_hours!$G$4:$G$997, $A26)</f>
        <v>0</v>
      </c>
      <c r="T26" s="14">
        <f>SUMIFS(Task_hours!$H$4:$H$997, Task_hours!$E$4:$E$997, T$16, Task_hours!$F$4:$F$997, $A26)</f>
        <v>0</v>
      </c>
      <c r="U26" s="14">
        <f>SUMIFS(Task_hours!$H$4:$H$997, Task_hours!$E$4:$E$997, T$16, Task_hours!$G$4:$G$997, $A26)</f>
        <v>0</v>
      </c>
      <c r="V26" s="14">
        <f>SUMIFS(Task_hours!$H$4:$H$997, Task_hours!$E$4:$E$997, V$16, Task_hours!$F$4:$F$997, $A26)</f>
        <v>0</v>
      </c>
      <c r="W26" s="14">
        <f>SUMIFS(Task_hours!$H$4:$H$997, Task_hours!$E$4:$E$997, V$16, Task_hours!$G$4:$G$997, $A26)</f>
        <v>0</v>
      </c>
      <c r="X26" s="14">
        <f>SUMIFS(Task_hours!$H$4:$H$997, Task_hours!$E$4:$E$997, X$16, Task_hours!$F$4:$F$997, $A26)</f>
        <v>0</v>
      </c>
      <c r="Y26" s="14">
        <f>SUMIFS(Task_hours!$H$4:$H$997, Task_hours!$E$4:$E$997, X$16, Task_hours!$G$4:$G$997, $A26)</f>
        <v>0</v>
      </c>
      <c r="Z26" s="14">
        <f>SUMIFS(Task_hours!$H$4:$H$997, Task_hours!$E$4:$E$997, Z$16, Task_hours!$F$4:$F$997, $A26)</f>
        <v>3</v>
      </c>
      <c r="AA26" s="14">
        <f>SUMIFS(Task_hours!$H$4:$H$997, Task_hours!$E$4:$E$997, Z$16, Task_hours!$G$4:$G$997, $A26)</f>
        <v>2</v>
      </c>
      <c r="AB26" s="14">
        <f>SUMIFS(Task_hours!$H$4:$H$997, Task_hours!$E$4:$E$997, AB$16, Task_hours!$F$4:$F$997, $A26)</f>
        <v>0</v>
      </c>
      <c r="AC26" s="14">
        <f>SUMIFS(Task_hours!$H$4:$H$997, Task_hours!$E$4:$E$997, AB$16, Task_hours!$G$4:$G$997, $A26)</f>
        <v>1</v>
      </c>
      <c r="AD26" s="14">
        <f>SUMIFS(Task_hours!$H$4:$H$997, Task_hours!$E$4:$E$997, AD$16, Task_hours!$F$4:$F$997, $A26)</f>
        <v>2.5</v>
      </c>
      <c r="AE26" s="14">
        <f>SUMIFS(Task_hours!$H$4:$H$997, Task_hours!$E$4:$E$997, AD$16, Task_hours!$G$4:$G$997, $A26)</f>
        <v>0</v>
      </c>
      <c r="AF26" s="14">
        <f>SUMIFS(Task_hours!$H$4:$H$997, Task_hours!$E$4:$E$997, AF$16, Task_hours!$F$4:$F$997, $A26)</f>
        <v>0</v>
      </c>
      <c r="AG26" s="14">
        <f>SUMIFS(Task_hours!$H$4:$H$997, Task_hours!$E$4:$E$997, AF$16, Task_hours!$G$4:$G$997, $A26)</f>
        <v>0</v>
      </c>
      <c r="AH26" s="14">
        <f>SUMIFS(Task_hours!$H$4:$H$997, Task_hours!$E$4:$E$997, AH$16, Task_hours!$F$4:$F$997, $A26)</f>
        <v>0</v>
      </c>
      <c r="AI26" s="14">
        <f>SUMIFS(Task_hours!$H$4:$H$997, Task_hours!$E$4:$E$997, AH$16, Task_hours!$G$4:$G$997, $A26)</f>
        <v>1</v>
      </c>
      <c r="AJ26" s="14">
        <f>SUMIFS(Task_hours!$H$4:$H$997, Task_hours!$E$4:$E$997, AJ$16, Task_hours!$F$4:$F$997, $A26)</f>
        <v>2.5</v>
      </c>
      <c r="AK26" s="14">
        <f>SUMIFS(Task_hours!$H$4:$H$997, Task_hours!$E$4:$E$997, AJ$16, Task_hours!$G$4:$G$997, $A26)</f>
        <v>3</v>
      </c>
      <c r="AL26" s="14">
        <f>SUMIFS(Task_hours!$H$4:$H$997, Task_hours!$E$4:$E$997, AL$16, Task_hours!$F$4:$F$997, $A26)</f>
        <v>0</v>
      </c>
      <c r="AM26" s="14">
        <f>SUMIFS(Task_hours!$H$4:$H$997, Task_hours!$E$4:$E$997, AL$16, Task_hours!$G$4:$G$997, $A26)</f>
        <v>0</v>
      </c>
      <c r="AN26" s="14">
        <f>SUMIFS(Task_hours!$H$4:$H$997, Task_hours!$E$4:$E$997, AN$16, Task_hours!$F$4:$F$997, $A26)</f>
        <v>0</v>
      </c>
      <c r="AO26" s="14">
        <f>SUMIFS(Task_hours!$H$4:$H$997, Task_hours!$E$4:$E$997, AN$16, Task_hours!$G$4:$G$997, $A26)</f>
        <v>0</v>
      </c>
      <c r="AP26" s="14">
        <f>SUMIFS(Task_hours!$H$4:$H$997, Task_hours!$E$4:$E$997, AP$16, Task_hours!$F$4:$F$997, $A26)</f>
        <v>0</v>
      </c>
      <c r="AQ26" s="14">
        <f>SUMIFS(Task_hours!$H$4:$H$997, Task_hours!$E$4:$E$997, AP$16, Task_hours!$G$4:$G$997, $A26)</f>
        <v>0</v>
      </c>
      <c r="AR26" s="14">
        <f>SUMIFS(Task_hours!$H$4:$H$997, Task_hours!$E$4:$E$997, AR$16, Task_hours!$F$4:$F$997, $A26)</f>
        <v>0</v>
      </c>
      <c r="AS26" s="14">
        <f>SUMIFS(Task_hours!$H$4:$H$997, Task_hours!$E$4:$E$997, AR$16, Task_hours!$G$4:$G$997, $A26)</f>
        <v>0</v>
      </c>
      <c r="AT26" s="14">
        <f>SUMIFS(Task_hours!$H$4:$H$997, Task_hours!$E$4:$E$997, AT$16, Task_hours!$F$4:$F$997, $A26)</f>
        <v>0</v>
      </c>
      <c r="AU26" s="14">
        <f>SUMIFS(Task_hours!$H$4:$H$997, Task_hours!$E$4:$E$997, AT$16, Task_hours!$G$4:$G$997, $A26)</f>
        <v>0</v>
      </c>
      <c r="AV26" s="14">
        <f>SUMIFS(Task_hours!$H$4:$H$997, Task_hours!$E$4:$E$997, AV$16, Task_hours!$F$4:$F$997, $A26)</f>
        <v>0</v>
      </c>
      <c r="AW26" s="14">
        <f>SUMIFS(Task_hours!$H$4:$H$997, Task_hours!$E$4:$E$997, AV$16, Task_hours!$G$4:$G$997, $A26)</f>
        <v>0</v>
      </c>
      <c r="AX26" s="14">
        <f>SUMIFS(Task_hours!$H$4:$H$997, Task_hours!$E$4:$E$997, AX$16, Task_hours!$F$4:$F$997, $A26)</f>
        <v>0</v>
      </c>
      <c r="AY26" s="14">
        <f>SUMIFS(Task_hours!$H$4:$H$997, Task_hours!$E$4:$E$997, AX$16, Task_hours!$G$4:$G$997, $A26)</f>
        <v>0</v>
      </c>
    </row>
    <row r="27" spans="1:51">
      <c r="A27" s="87" t="s">
        <v>59</v>
      </c>
      <c r="B27" s="34">
        <f>SUMIFS(Tasks!$H$3:$H1004, Tasks!$F$3:$F1004, $A27, Tasks!$B$3:$B1004, $A$15, Tasks!$K$3:$K1004, "Backlog")</f>
        <v>0</v>
      </c>
      <c r="C27" s="86">
        <f>SUMIFS(Tasks!$H$3:$H1004, Tasks!$G$3:$G1004, $A27, Tasks!$B$3:$B1004, $A$15, Tasks!$K$3:$K1004, "Backlog")</f>
        <v>0</v>
      </c>
      <c r="D27" s="34">
        <f>SUMIFS(Tasks!$H$3:$H1004, Tasks!$F$3:$F1004, $A27, Tasks!$B$3:$B1004, $A$15, Tasks!$K$3:$K1004, "Progress")-SUMIFS(Tasks!$I$3:$I1004, Tasks!$F$3:$F1004, $A27, Tasks!$B$3:$B1004, $A$15, Tasks!$K$3:$K1004, "Progress")</f>
        <v>0</v>
      </c>
      <c r="E27" s="86">
        <f>SUMIFS(Tasks!$H$3:$H1004, Tasks!$G$3:$G1004, $A27, Tasks!$B$3:$B1004, $A$15, Tasks!$K$3:$K1004, "Progress")-SUMIFS(Tasks!$I$3:$I1004, Tasks!$G$3:$G1004, $A27, Tasks!$B$3:$B1004, $A$15, Tasks!$K$3:$K1004, "Progress")</f>
        <v>0</v>
      </c>
      <c r="F27" s="34">
        <f t="shared" ref="F27:G27" si="39">H27+B27</f>
        <v>1</v>
      </c>
      <c r="G27" s="86">
        <f t="shared" si="39"/>
        <v>8.5</v>
      </c>
      <c r="H27" s="88">
        <f t="shared" ref="H27:I27" si="40">SUM(J27,L27,N27,P27,R27,T27,V27,X27,Z27,AB27,AD27,AF27,AH27,AJ27)</f>
        <v>1</v>
      </c>
      <c r="I27" s="89">
        <f t="shared" si="40"/>
        <v>8.5</v>
      </c>
      <c r="J27" s="14">
        <f>SUMIFS(Task_hours!$H$4:$H$997, Task_hours!$E$4:$E$997, J$16, Task_hours!$F$4:$F$997, $A27)</f>
        <v>0</v>
      </c>
      <c r="K27" s="14">
        <f>SUMIFS(Task_hours!$H$4:$H$997, Task_hours!$E$4:$E$997, J$16, Task_hours!$G$4:$G$997, $A27)</f>
        <v>0</v>
      </c>
      <c r="L27" s="14">
        <f>SUMIFS(Task_hours!$H$4:$H$997, Task_hours!$E$4:$E$997, L$16, Task_hours!$F$4:$F$997, $A27)</f>
        <v>0</v>
      </c>
      <c r="M27" s="14">
        <f>SUMIFS(Task_hours!$H$4:$H$997, Task_hours!$E$4:$E$997, L$16, Task_hours!$G$4:$G$997, $A27)</f>
        <v>0</v>
      </c>
      <c r="N27" s="14">
        <f>SUMIFS(Task_hours!$H$4:$H$997, Task_hours!$E$4:$E$997, N$16, Task_hours!$F$4:$F$997, $A27)</f>
        <v>0</v>
      </c>
      <c r="O27" s="14">
        <f>SUMIFS(Task_hours!$H$4:$H$997, Task_hours!$E$4:$E$997, N$16, Task_hours!$G$4:$G$997, $A27)</f>
        <v>1.5</v>
      </c>
      <c r="P27" s="14">
        <f>SUMIFS(Task_hours!$H$4:$H$997, Task_hours!$E$4:$E$997, P$16, Task_hours!$F$4:$F$997, $A27)</f>
        <v>0</v>
      </c>
      <c r="Q27" s="14">
        <f>SUMIFS(Task_hours!$H$4:$H$997, Task_hours!$E$4:$E$997, P$16, Task_hours!$G$4:$G$997, $A27)</f>
        <v>0</v>
      </c>
      <c r="R27" s="14">
        <f>SUMIFS(Task_hours!$H$4:$H$997, Task_hours!$E$4:$E$997, R$16, Task_hours!$F$4:$F$997, $A27)</f>
        <v>0</v>
      </c>
      <c r="S27" s="14">
        <f>SUMIFS(Task_hours!$H$4:$H$997, Task_hours!$E$4:$E$997, R$16, Task_hours!$G$4:$G$997, $A27)</f>
        <v>0</v>
      </c>
      <c r="T27" s="14">
        <f>SUMIFS(Task_hours!$H$4:$H$997, Task_hours!$E$4:$E$997, T$16, Task_hours!$F$4:$F$997, $A27)</f>
        <v>0</v>
      </c>
      <c r="U27" s="14">
        <f>SUMIFS(Task_hours!$H$4:$H$997, Task_hours!$E$4:$E$997, T$16, Task_hours!$G$4:$G$997, $A27)</f>
        <v>0</v>
      </c>
      <c r="V27" s="14">
        <f>SUMIFS(Task_hours!$H$4:$H$997, Task_hours!$E$4:$E$997, V$16, Task_hours!$F$4:$F$997, $A27)</f>
        <v>0</v>
      </c>
      <c r="W27" s="14">
        <f>SUMIFS(Task_hours!$H$4:$H$997, Task_hours!$E$4:$E$997, V$16, Task_hours!$G$4:$G$997, $A27)</f>
        <v>0</v>
      </c>
      <c r="X27" s="14">
        <f>SUMIFS(Task_hours!$H$4:$H$997, Task_hours!$E$4:$E$997, X$16, Task_hours!$F$4:$F$997, $A27)</f>
        <v>0</v>
      </c>
      <c r="Y27" s="14">
        <f>SUMIFS(Task_hours!$H$4:$H$997, Task_hours!$E$4:$E$997, X$16, Task_hours!$G$4:$G$997, $A27)</f>
        <v>1.5</v>
      </c>
      <c r="Z27" s="14">
        <f>SUMIFS(Task_hours!$H$4:$H$997, Task_hours!$E$4:$E$997, Z$16, Task_hours!$F$4:$F$997, $A27)</f>
        <v>0</v>
      </c>
      <c r="AA27" s="14">
        <f>SUMIFS(Task_hours!$H$4:$H$997, Task_hours!$E$4:$E$997, Z$16, Task_hours!$G$4:$G$997, $A27)</f>
        <v>0</v>
      </c>
      <c r="AB27" s="14">
        <f>SUMIFS(Task_hours!$H$4:$H$997, Task_hours!$E$4:$E$997, AB$16, Task_hours!$F$4:$F$997, $A27)</f>
        <v>0</v>
      </c>
      <c r="AC27" s="14">
        <f>SUMIFS(Task_hours!$H$4:$H$997, Task_hours!$E$4:$E$997, AB$16, Task_hours!$G$4:$G$997, $A27)</f>
        <v>0</v>
      </c>
      <c r="AD27" s="14">
        <f>SUMIFS(Task_hours!$H$4:$H$997, Task_hours!$E$4:$E$997, AD$16, Task_hours!$F$4:$F$997, $A27)</f>
        <v>0</v>
      </c>
      <c r="AE27" s="14">
        <f>SUMIFS(Task_hours!$H$4:$H$997, Task_hours!$E$4:$E$997, AD$16, Task_hours!$G$4:$G$997, $A27)</f>
        <v>0</v>
      </c>
      <c r="AF27" s="14">
        <f>SUMIFS(Task_hours!$H$4:$H$997, Task_hours!$E$4:$E$997, AF$16, Task_hours!$F$4:$F$997, $A27)</f>
        <v>0</v>
      </c>
      <c r="AG27" s="14">
        <f>SUMIFS(Task_hours!$H$4:$H$997, Task_hours!$E$4:$E$997, AF$16, Task_hours!$G$4:$G$997, $A27)</f>
        <v>2</v>
      </c>
      <c r="AH27" s="14">
        <f>SUMIFS(Task_hours!$H$4:$H$997, Task_hours!$E$4:$E$997, AH$16, Task_hours!$F$4:$F$997, $A27)</f>
        <v>1</v>
      </c>
      <c r="AI27" s="14">
        <f>SUMIFS(Task_hours!$H$4:$H$997, Task_hours!$E$4:$E$997, AH$16, Task_hours!$G$4:$G$997, $A27)</f>
        <v>1</v>
      </c>
      <c r="AJ27" s="14">
        <f>SUMIFS(Task_hours!$H$4:$H$997, Task_hours!$E$4:$E$997, AJ$16, Task_hours!$F$4:$F$997, $A27)</f>
        <v>0</v>
      </c>
      <c r="AK27" s="14">
        <f>SUMIFS(Task_hours!$H$4:$H$997, Task_hours!$E$4:$E$997, AJ$16, Task_hours!$G$4:$G$997, $A27)</f>
        <v>2.5</v>
      </c>
      <c r="AL27" s="14">
        <f>SUMIFS(Task_hours!$H$4:$H$997, Task_hours!$E$4:$E$997, AL$16, Task_hours!$F$4:$F$997, $A27)</f>
        <v>0</v>
      </c>
      <c r="AM27" s="14">
        <f>SUMIFS(Task_hours!$H$4:$H$997, Task_hours!$E$4:$E$997, AL$16, Task_hours!$G$4:$G$997, $A27)</f>
        <v>0</v>
      </c>
      <c r="AN27" s="14">
        <f>SUMIFS(Task_hours!$H$4:$H$997, Task_hours!$E$4:$E$997, AN$16, Task_hours!$F$4:$F$997, $A27)</f>
        <v>0</v>
      </c>
      <c r="AO27" s="14">
        <f>SUMIFS(Task_hours!$H$4:$H$997, Task_hours!$E$4:$E$997, AN$16, Task_hours!$G$4:$G$997, $A27)</f>
        <v>0</v>
      </c>
      <c r="AP27" s="14">
        <f>SUMIFS(Task_hours!$H$4:$H$997, Task_hours!$E$4:$E$997, AP$16, Task_hours!$F$4:$F$997, $A27)</f>
        <v>0</v>
      </c>
      <c r="AQ27" s="14">
        <f>SUMIFS(Task_hours!$H$4:$H$997, Task_hours!$E$4:$E$997, AP$16, Task_hours!$G$4:$G$997, $A27)</f>
        <v>0</v>
      </c>
      <c r="AR27" s="14">
        <f>SUMIFS(Task_hours!$H$4:$H$997, Task_hours!$E$4:$E$997, AR$16, Task_hours!$F$4:$F$997, $A27)</f>
        <v>0</v>
      </c>
      <c r="AS27" s="14">
        <f>SUMIFS(Task_hours!$H$4:$H$997, Task_hours!$E$4:$E$997, AR$16, Task_hours!$G$4:$G$997, $A27)</f>
        <v>0</v>
      </c>
      <c r="AT27" s="14">
        <f>SUMIFS(Task_hours!$H$4:$H$997, Task_hours!$E$4:$E$997, AT$16, Task_hours!$F$4:$F$997, $A27)</f>
        <v>0</v>
      </c>
      <c r="AU27" s="14">
        <f>SUMIFS(Task_hours!$H$4:$H$997, Task_hours!$E$4:$E$997, AT$16, Task_hours!$G$4:$G$997, $A27)</f>
        <v>0</v>
      </c>
      <c r="AV27" s="14">
        <f>SUMIFS(Task_hours!$H$4:$H$997, Task_hours!$E$4:$E$997, AV$16, Task_hours!$F$4:$F$997, $A27)</f>
        <v>0</v>
      </c>
      <c r="AW27" s="14">
        <f>SUMIFS(Task_hours!$H$4:$H$997, Task_hours!$E$4:$E$997, AV$16, Task_hours!$G$4:$G$997, $A27)</f>
        <v>0</v>
      </c>
      <c r="AX27" s="14">
        <f>SUMIFS(Task_hours!$H$4:$H$997, Task_hours!$E$4:$E$997, AX$16, Task_hours!$F$4:$F$997, $A27)</f>
        <v>0</v>
      </c>
      <c r="AY27" s="14">
        <f>SUMIFS(Task_hours!$H$4:$H$997, Task_hours!$E$4:$E$997, AX$16, Task_hours!$G$4:$G$997, $A27)</f>
        <v>0</v>
      </c>
    </row>
    <row r="28" spans="1:51">
      <c r="A28" s="82" t="s">
        <v>459</v>
      </c>
      <c r="B28" s="83">
        <f t="shared" ref="B28:AY28" si="41">SUM(B18:B27)</f>
        <v>0</v>
      </c>
      <c r="C28" s="84">
        <f t="shared" si="41"/>
        <v>0</v>
      </c>
      <c r="D28" s="83">
        <f t="shared" si="41"/>
        <v>0</v>
      </c>
      <c r="E28" s="84">
        <f t="shared" si="41"/>
        <v>0</v>
      </c>
      <c r="F28" s="83">
        <f t="shared" si="41"/>
        <v>104</v>
      </c>
      <c r="G28" s="84">
        <f t="shared" si="41"/>
        <v>86.5</v>
      </c>
      <c r="H28" s="83">
        <f t="shared" si="41"/>
        <v>104</v>
      </c>
      <c r="I28" s="83">
        <f t="shared" si="41"/>
        <v>86.5</v>
      </c>
      <c r="J28" s="83">
        <f t="shared" si="41"/>
        <v>4.5</v>
      </c>
      <c r="K28" s="83">
        <f t="shared" si="41"/>
        <v>0</v>
      </c>
      <c r="L28" s="83">
        <f t="shared" si="41"/>
        <v>4</v>
      </c>
      <c r="M28" s="83">
        <f t="shared" si="41"/>
        <v>3</v>
      </c>
      <c r="N28" s="83">
        <f t="shared" si="41"/>
        <v>3.5</v>
      </c>
      <c r="O28" s="83">
        <f t="shared" si="41"/>
        <v>3.5</v>
      </c>
      <c r="P28" s="83">
        <f t="shared" si="41"/>
        <v>3</v>
      </c>
      <c r="Q28" s="83">
        <f t="shared" si="41"/>
        <v>3</v>
      </c>
      <c r="R28" s="83">
        <f t="shared" si="41"/>
        <v>1</v>
      </c>
      <c r="S28" s="83">
        <f t="shared" si="41"/>
        <v>1</v>
      </c>
      <c r="T28" s="83">
        <f t="shared" si="41"/>
        <v>2.5</v>
      </c>
      <c r="U28" s="83">
        <f t="shared" si="41"/>
        <v>2.5</v>
      </c>
      <c r="V28" s="83">
        <f t="shared" si="41"/>
        <v>5.5</v>
      </c>
      <c r="W28" s="83">
        <f t="shared" si="41"/>
        <v>5.5</v>
      </c>
      <c r="X28" s="83">
        <f t="shared" si="41"/>
        <v>7.5</v>
      </c>
      <c r="Y28" s="83">
        <f t="shared" si="41"/>
        <v>7</v>
      </c>
      <c r="Z28" s="83">
        <f t="shared" si="41"/>
        <v>7</v>
      </c>
      <c r="AA28" s="83">
        <f t="shared" si="41"/>
        <v>5</v>
      </c>
      <c r="AB28" s="83">
        <f t="shared" si="41"/>
        <v>9</v>
      </c>
      <c r="AC28" s="83">
        <f t="shared" si="41"/>
        <v>9</v>
      </c>
      <c r="AD28" s="83">
        <f t="shared" si="41"/>
        <v>22.5</v>
      </c>
      <c r="AE28" s="83">
        <f t="shared" si="41"/>
        <v>22.5</v>
      </c>
      <c r="AF28" s="83">
        <f t="shared" si="41"/>
        <v>6.5</v>
      </c>
      <c r="AG28" s="83">
        <f t="shared" si="41"/>
        <v>6.5</v>
      </c>
      <c r="AH28" s="83">
        <f t="shared" si="41"/>
        <v>12.5</v>
      </c>
      <c r="AI28" s="83">
        <f t="shared" si="41"/>
        <v>8</v>
      </c>
      <c r="AJ28" s="83">
        <f t="shared" si="41"/>
        <v>15</v>
      </c>
      <c r="AK28" s="83">
        <f t="shared" si="41"/>
        <v>10</v>
      </c>
      <c r="AL28" s="83">
        <f t="shared" si="41"/>
        <v>0</v>
      </c>
      <c r="AM28" s="83">
        <f t="shared" si="41"/>
        <v>0</v>
      </c>
      <c r="AN28" s="83">
        <f t="shared" si="41"/>
        <v>0</v>
      </c>
      <c r="AO28" s="83">
        <f t="shared" si="41"/>
        <v>0</v>
      </c>
      <c r="AP28" s="83">
        <f t="shared" si="41"/>
        <v>0</v>
      </c>
      <c r="AQ28" s="83">
        <f t="shared" si="41"/>
        <v>0</v>
      </c>
      <c r="AR28" s="83">
        <f t="shared" si="41"/>
        <v>0</v>
      </c>
      <c r="AS28" s="83">
        <f t="shared" si="41"/>
        <v>0</v>
      </c>
      <c r="AT28" s="83">
        <f t="shared" si="41"/>
        <v>0</v>
      </c>
      <c r="AU28" s="83">
        <f t="shared" si="41"/>
        <v>0</v>
      </c>
      <c r="AV28" s="83">
        <f t="shared" si="41"/>
        <v>0</v>
      </c>
      <c r="AW28" s="83">
        <f t="shared" si="41"/>
        <v>0</v>
      </c>
      <c r="AX28" s="83">
        <f t="shared" si="41"/>
        <v>0</v>
      </c>
      <c r="AY28" s="83">
        <f t="shared" si="41"/>
        <v>0</v>
      </c>
    </row>
    <row r="29" spans="1:51">
      <c r="A29" s="71">
        <v>4</v>
      </c>
      <c r="B29" s="126" t="s">
        <v>447</v>
      </c>
      <c r="C29" s="134"/>
      <c r="D29" s="126" t="s">
        <v>448</v>
      </c>
      <c r="E29" s="134"/>
      <c r="F29" s="126" t="s">
        <v>449</v>
      </c>
      <c r="G29" s="134"/>
      <c r="H29" s="128"/>
      <c r="I29" s="127"/>
      <c r="J29" s="126" t="s">
        <v>464</v>
      </c>
      <c r="K29" s="129"/>
      <c r="L29" s="129"/>
      <c r="M29" s="129"/>
      <c r="N29" s="129"/>
      <c r="O29" s="129"/>
      <c r="P29" s="129"/>
      <c r="Q29" s="129"/>
      <c r="R29" s="129"/>
      <c r="S29" s="129"/>
      <c r="T29" s="129"/>
      <c r="U29" s="129"/>
      <c r="V29" s="129"/>
      <c r="W29" s="127"/>
      <c r="X29" s="126" t="s">
        <v>465</v>
      </c>
      <c r="Y29" s="129"/>
      <c r="Z29" s="129"/>
      <c r="AA29" s="129"/>
      <c r="AB29" s="129"/>
      <c r="AC29" s="129"/>
      <c r="AD29" s="129"/>
      <c r="AE29" s="129"/>
      <c r="AF29" s="129"/>
      <c r="AG29" s="129"/>
      <c r="AH29" s="129"/>
      <c r="AI29" s="129"/>
      <c r="AJ29" s="129"/>
      <c r="AK29" s="127"/>
      <c r="AL29" s="126" t="s">
        <v>466</v>
      </c>
      <c r="AM29" s="129"/>
      <c r="AN29" s="129"/>
      <c r="AO29" s="129"/>
      <c r="AP29" s="129"/>
      <c r="AQ29" s="129"/>
      <c r="AR29" s="129"/>
      <c r="AS29" s="129"/>
      <c r="AT29" s="129"/>
      <c r="AU29" s="129"/>
      <c r="AV29" s="129"/>
      <c r="AW29" s="129"/>
      <c r="AX29" s="129"/>
      <c r="AY29" s="127"/>
    </row>
    <row r="30" spans="1:51">
      <c r="A30" s="72"/>
      <c r="B30" s="124" t="s">
        <v>453</v>
      </c>
      <c r="C30" s="122"/>
      <c r="D30" s="124" t="s">
        <v>453</v>
      </c>
      <c r="E30" s="122"/>
      <c r="F30" s="124" t="s">
        <v>453</v>
      </c>
      <c r="G30" s="122"/>
      <c r="H30" s="124" t="s">
        <v>454</v>
      </c>
      <c r="I30" s="125"/>
      <c r="J30" s="123">
        <v>45048</v>
      </c>
      <c r="K30" s="122"/>
      <c r="L30" s="121">
        <v>45049</v>
      </c>
      <c r="M30" s="122"/>
      <c r="N30" s="121">
        <v>45050</v>
      </c>
      <c r="O30" s="122"/>
      <c r="P30" s="121">
        <v>45051</v>
      </c>
      <c r="Q30" s="122"/>
      <c r="R30" s="121">
        <v>45052</v>
      </c>
      <c r="S30" s="122"/>
      <c r="T30" s="121">
        <v>45053</v>
      </c>
      <c r="U30" s="122"/>
      <c r="V30" s="121">
        <v>45054</v>
      </c>
      <c r="W30" s="122"/>
      <c r="X30" s="123">
        <v>45055</v>
      </c>
      <c r="Y30" s="122"/>
      <c r="Z30" s="121">
        <v>45056</v>
      </c>
      <c r="AA30" s="122"/>
      <c r="AB30" s="121">
        <v>45057</v>
      </c>
      <c r="AC30" s="122"/>
      <c r="AD30" s="121">
        <v>45058</v>
      </c>
      <c r="AE30" s="122"/>
      <c r="AF30" s="121">
        <v>45059</v>
      </c>
      <c r="AG30" s="122"/>
      <c r="AH30" s="121">
        <v>45060</v>
      </c>
      <c r="AI30" s="122"/>
      <c r="AJ30" s="121">
        <v>45061</v>
      </c>
      <c r="AK30" s="125"/>
      <c r="AL30" s="123">
        <v>45062</v>
      </c>
      <c r="AM30" s="122"/>
      <c r="AN30" s="121">
        <v>45063</v>
      </c>
      <c r="AO30" s="122"/>
      <c r="AP30" s="121">
        <v>45064</v>
      </c>
      <c r="AQ30" s="122"/>
      <c r="AR30" s="121">
        <v>45065</v>
      </c>
      <c r="AS30" s="122"/>
      <c r="AT30" s="121">
        <v>45066</v>
      </c>
      <c r="AU30" s="122"/>
      <c r="AV30" s="121">
        <v>45067</v>
      </c>
      <c r="AW30" s="122"/>
      <c r="AX30" s="121">
        <v>45068</v>
      </c>
      <c r="AY30" s="125"/>
    </row>
    <row r="31" spans="1:51">
      <c r="A31" s="73" t="s">
        <v>456</v>
      </c>
      <c r="B31" s="74" t="s">
        <v>457</v>
      </c>
      <c r="C31" s="75" t="s">
        <v>458</v>
      </c>
      <c r="D31" s="74" t="s">
        <v>457</v>
      </c>
      <c r="E31" s="75" t="s">
        <v>458</v>
      </c>
      <c r="F31" s="74" t="s">
        <v>457</v>
      </c>
      <c r="G31" s="75" t="s">
        <v>458</v>
      </c>
      <c r="H31" s="76" t="s">
        <v>457</v>
      </c>
      <c r="I31" s="77" t="s">
        <v>458</v>
      </c>
      <c r="J31" s="74" t="s">
        <v>457</v>
      </c>
      <c r="K31" s="75" t="s">
        <v>458</v>
      </c>
      <c r="L31" s="78" t="s">
        <v>457</v>
      </c>
      <c r="M31" s="78" t="s">
        <v>458</v>
      </c>
      <c r="N31" s="78" t="s">
        <v>457</v>
      </c>
      <c r="O31" s="78" t="s">
        <v>458</v>
      </c>
      <c r="P31" s="78" t="s">
        <v>457</v>
      </c>
      <c r="Q31" s="78" t="s">
        <v>458</v>
      </c>
      <c r="R31" s="78" t="s">
        <v>457</v>
      </c>
      <c r="S31" s="78" t="s">
        <v>458</v>
      </c>
      <c r="T31" s="78" t="s">
        <v>457</v>
      </c>
      <c r="U31" s="78" t="s">
        <v>458</v>
      </c>
      <c r="V31" s="78" t="s">
        <v>457</v>
      </c>
      <c r="W31" s="78" t="s">
        <v>458</v>
      </c>
      <c r="X31" s="76" t="s">
        <v>457</v>
      </c>
      <c r="Y31" s="78" t="s">
        <v>458</v>
      </c>
      <c r="Z31" s="78" t="s">
        <v>457</v>
      </c>
      <c r="AA31" s="78" t="s">
        <v>458</v>
      </c>
      <c r="AB31" s="78" t="s">
        <v>457</v>
      </c>
      <c r="AC31" s="78" t="s">
        <v>458</v>
      </c>
      <c r="AD31" s="78" t="s">
        <v>457</v>
      </c>
      <c r="AE31" s="78" t="s">
        <v>458</v>
      </c>
      <c r="AF31" s="78" t="s">
        <v>457</v>
      </c>
      <c r="AG31" s="78" t="s">
        <v>458</v>
      </c>
      <c r="AH31" s="78" t="s">
        <v>457</v>
      </c>
      <c r="AI31" s="78" t="s">
        <v>458</v>
      </c>
      <c r="AJ31" s="78" t="s">
        <v>457</v>
      </c>
      <c r="AK31" s="77" t="s">
        <v>458</v>
      </c>
      <c r="AL31" s="76" t="s">
        <v>457</v>
      </c>
      <c r="AM31" s="78" t="s">
        <v>458</v>
      </c>
      <c r="AN31" s="78" t="s">
        <v>457</v>
      </c>
      <c r="AO31" s="78" t="s">
        <v>458</v>
      </c>
      <c r="AP31" s="78" t="s">
        <v>457</v>
      </c>
      <c r="AQ31" s="78" t="s">
        <v>458</v>
      </c>
      <c r="AR31" s="78" t="s">
        <v>457</v>
      </c>
      <c r="AS31" s="78" t="s">
        <v>458</v>
      </c>
      <c r="AT31" s="78" t="s">
        <v>457</v>
      </c>
      <c r="AU31" s="78" t="s">
        <v>458</v>
      </c>
      <c r="AV31" s="78" t="s">
        <v>457</v>
      </c>
      <c r="AW31" s="78" t="s">
        <v>458</v>
      </c>
      <c r="AX31" s="78" t="s">
        <v>457</v>
      </c>
      <c r="AY31" s="77" t="s">
        <v>458</v>
      </c>
    </row>
    <row r="32" spans="1:51">
      <c r="A32" s="79" t="s">
        <v>53</v>
      </c>
      <c r="B32" s="14">
        <f>SUMIFS(Tasks!$H$3:$H1004, Tasks!$F$3:$F1004, $A32, Tasks!$B$3:$B1004, $A$29, Tasks!$K$3:$K1004, "Backlog")</f>
        <v>0</v>
      </c>
      <c r="C32" s="80">
        <f>SUMIFS(Tasks!$H$3:$H1004, Tasks!$G$3:$G1004, $A32, Tasks!$B$3:$B1004, $A$29, Tasks!$K$3:$K1004, "Backlog")</f>
        <v>0</v>
      </c>
      <c r="D32" s="14">
        <f>SUMIFS(Tasks!$H$3:$H1004, Tasks!$F$3:$F1004, $A32, Tasks!$B$3:$B1004, $A$29, Tasks!$K$3:$K1004, "Progress")-SUMIFS(Tasks!$I$3:$I1004, Tasks!$F$3:$F1004, $A32, Tasks!$B$3:$B1004, $A$29, Tasks!$K$3:$K1004, "Progress")</f>
        <v>0</v>
      </c>
      <c r="E32" s="80">
        <f>SUMIFS(Tasks!$H$3:$H1004, Tasks!$G$3:$G1004, $A32, Tasks!$B$3:$B1004, $A$29, Tasks!$K$3:$K1004, "Progress")-SUMIFS(Tasks!$I$3:$I1004, Tasks!$G$3:$G1004, $A32, Tasks!$B$3:$B1004, $A$29, Tasks!$K$3:$K1004, "Progress")</f>
        <v>0</v>
      </c>
      <c r="F32" s="14">
        <f t="shared" ref="F32:G32" si="42">H32+B32</f>
        <v>21.5</v>
      </c>
      <c r="G32" s="80">
        <f t="shared" si="42"/>
        <v>9</v>
      </c>
      <c r="H32" s="14">
        <f t="shared" ref="H32:I32" si="43">SUM(J32,L32,N32,P32,R32,T32,V32,X32,Z32,AB32,AD32,AF32,AH32,AJ32, AL32, AN32, AP32, AR32, AT32, AV32, AX32)</f>
        <v>21.5</v>
      </c>
      <c r="I32" s="81">
        <f t="shared" si="43"/>
        <v>9</v>
      </c>
      <c r="J32" s="14">
        <f>SUMIFS(Task_hours!$H$4:$H$997, Task_hours!$E$4:$E$997, J$30, Task_hours!$F$4:$F$997, $A32)</f>
        <v>0</v>
      </c>
      <c r="K32" s="14">
        <f>SUMIFS(Task_hours!$H$4:$H$997, Task_hours!$E$4:$E$997, J$30, Task_hours!$G$4:$G$997, $A32)</f>
        <v>0</v>
      </c>
      <c r="L32" s="14">
        <f>SUMIFS(Task_hours!$H$4:$H$997, Task_hours!$E$4:$E$997, L$30, Task_hours!$F$4:$F$997, $A32)</f>
        <v>0</v>
      </c>
      <c r="M32" s="14">
        <f>SUMIFS(Task_hours!$H$4:$H$997, Task_hours!$E$4:$E$997, L$30, Task_hours!$G$4:$G$997, $A32)</f>
        <v>0</v>
      </c>
      <c r="N32" s="14">
        <f>SUMIFS(Task_hours!$H$4:$H$997, Task_hours!$E$4:$E$997, N$30, Task_hours!$F$4:$F$997, $A32)</f>
        <v>0</v>
      </c>
      <c r="O32" s="14">
        <f>SUMIFS(Task_hours!$H$4:$H$997, Task_hours!$E$4:$E$997, N$30, Task_hours!$G$4:$G$997, $A32)</f>
        <v>0</v>
      </c>
      <c r="P32" s="14">
        <f>SUMIFS(Task_hours!$H$4:$H$997, Task_hours!$E$4:$E$997, P$30, Task_hours!$F$4:$F$997, $A32)</f>
        <v>0</v>
      </c>
      <c r="Q32" s="14">
        <f>SUMIFS(Task_hours!$H$4:$H$997, Task_hours!$E$4:$E$997, P$30, Task_hours!$G$4:$G$997, $A32)</f>
        <v>0</v>
      </c>
      <c r="R32" s="14">
        <f>SUMIFS(Task_hours!$H$4:$H$997, Task_hours!$E$4:$E$997, R$30, Task_hours!$F$4:$F$997, $A32)</f>
        <v>0</v>
      </c>
      <c r="S32" s="14">
        <f>SUMIFS(Task_hours!$H$4:$H$997, Task_hours!$E$4:$E$997, R$30, Task_hours!$G$4:$G$997, $A32)</f>
        <v>0</v>
      </c>
      <c r="T32" s="14">
        <f>SUMIFS(Task_hours!$H$4:$H$997, Task_hours!$E$4:$E$997, T$30, Task_hours!$F$4:$F$997, $A32)</f>
        <v>2</v>
      </c>
      <c r="U32" s="14">
        <f>SUMIFS(Task_hours!$H$4:$H$997, Task_hours!$E$4:$E$997, T$30, Task_hours!$G$4:$G$997, $A32)</f>
        <v>0</v>
      </c>
      <c r="V32" s="14">
        <f>SUMIFS(Task_hours!$H$4:$H$997, Task_hours!$E$4:$E$997, V$30, Task_hours!$F$4:$F$997, $A32)</f>
        <v>2</v>
      </c>
      <c r="W32" s="14">
        <f>SUMIFS(Task_hours!$H$4:$H$997, Task_hours!$E$4:$E$997, V$30, Task_hours!$G$4:$G$997, $A32)</f>
        <v>0</v>
      </c>
      <c r="X32" s="14">
        <f>SUMIFS(Task_hours!$H$4:$H$997, Task_hours!$E$4:$E$997, X$30, Task_hours!$F$4:$F$997, $A32)</f>
        <v>0</v>
      </c>
      <c r="Y32" s="14">
        <f>SUMIFS(Task_hours!$H$4:$H$997, Task_hours!$E$4:$E$997, X$30, Task_hours!$G$4:$G$997, $A32)</f>
        <v>0</v>
      </c>
      <c r="Z32" s="14">
        <f>SUMIFS(Task_hours!$H$4:$H$997, Task_hours!$E$4:$E$997, Z$30, Task_hours!$F$4:$F$997, $A32)</f>
        <v>3.5</v>
      </c>
      <c r="AA32" s="14">
        <f>SUMIFS(Task_hours!$H$4:$H$997, Task_hours!$E$4:$E$997, Z$30, Task_hours!$G$4:$G$997, $A32)</f>
        <v>7</v>
      </c>
      <c r="AB32" s="14">
        <f>SUMIFS(Task_hours!$H$4:$H$997, Task_hours!$E$4:$E$997, AB$30, Task_hours!$F$4:$F$997, $A32)</f>
        <v>4.5</v>
      </c>
      <c r="AC32" s="14">
        <f>SUMIFS(Task_hours!$H$4:$H$997, Task_hours!$E$4:$E$997, AB$30, Task_hours!$G$4:$G$997, $A32)</f>
        <v>0</v>
      </c>
      <c r="AD32" s="14">
        <f>SUMIFS(Task_hours!$H$4:$H$997, Task_hours!$E$4:$E$997, AD$30, Task_hours!$F$4:$F$997, $A32)</f>
        <v>0</v>
      </c>
      <c r="AE32" s="14">
        <f>SUMIFS(Task_hours!$H$4:$H$997, Task_hours!$E$4:$E$997, AD$30, Task_hours!$G$4:$G$997, $A32)</f>
        <v>0</v>
      </c>
      <c r="AF32" s="14">
        <f>SUMIFS(Task_hours!$H$4:$H$997, Task_hours!$E$4:$E$997, AF$30, Task_hours!$F$4:$F$997, $A32)</f>
        <v>0</v>
      </c>
      <c r="AG32" s="14">
        <f>SUMIFS(Task_hours!$H$4:$H$997, Task_hours!$E$4:$E$997, AF$30, Task_hours!$G$4:$G$997, $A32)</f>
        <v>0</v>
      </c>
      <c r="AH32" s="14">
        <f>SUMIFS(Task_hours!$H$4:$H$997, Task_hours!$E$4:$E$997, AH$30, Task_hours!$F$4:$F$997, $A32)</f>
        <v>0</v>
      </c>
      <c r="AI32" s="14">
        <f>SUMIFS(Task_hours!$H$4:$H$997, Task_hours!$E$4:$E$997, AH$30, Task_hours!$G$4:$G$997, $A32)</f>
        <v>0</v>
      </c>
      <c r="AJ32" s="14">
        <f>SUMIFS(Task_hours!$H$4:$H$997, Task_hours!$E$4:$E$997, AJ$30, Task_hours!$F$4:$F$997, $A32)</f>
        <v>0</v>
      </c>
      <c r="AK32" s="14">
        <f>SUMIFS(Task_hours!$H$4:$H$997, Task_hours!$E$4:$E$997, AJ$30, Task_hours!$G$4:$G$997, $A32)</f>
        <v>1.5</v>
      </c>
      <c r="AL32" s="14">
        <f>SUMIFS(Task_hours!$H$4:$H$997, Task_hours!$E$4:$E$997, AL$30, Task_hours!$F$4:$F$997, $A32)</f>
        <v>1.5</v>
      </c>
      <c r="AM32" s="14">
        <f>SUMIFS(Task_hours!$H$4:$H$997, Task_hours!$E$4:$E$997, AL$30, Task_hours!$G$4:$G$997, $A32)</f>
        <v>0</v>
      </c>
      <c r="AN32" s="14">
        <f>SUMIFS(Task_hours!$H$4:$H$997, Task_hours!$E$4:$E$997, AN$30, Task_hours!$F$4:$F$997, $A32)</f>
        <v>0</v>
      </c>
      <c r="AO32" s="14">
        <f>SUMIFS(Task_hours!$H$4:$H$997, Task_hours!$E$4:$E$997, AN$30, Task_hours!$G$4:$G$997, $A32)</f>
        <v>0</v>
      </c>
      <c r="AP32" s="14">
        <f>SUMIFS(Task_hours!$H$4:$H$997, Task_hours!$E$4:$E$997, AP$30, Task_hours!$F$4:$F$997, $A32)</f>
        <v>0</v>
      </c>
      <c r="AQ32" s="14">
        <f>SUMIFS(Task_hours!$H$4:$H$997, Task_hours!$E$4:$E$997, AP$30, Task_hours!$G$4:$G$997, $A32)</f>
        <v>0</v>
      </c>
      <c r="AR32" s="14">
        <f>SUMIFS(Task_hours!$H$4:$H$997, Task_hours!$E$4:$E$997, AR$30, Task_hours!$F$4:$F$997, $A32)</f>
        <v>0</v>
      </c>
      <c r="AS32" s="14">
        <f>SUMIFS(Task_hours!$H$4:$H$997, Task_hours!$E$4:$E$997, AR$30, Task_hours!$G$4:$G$997, $A32)</f>
        <v>0</v>
      </c>
      <c r="AT32" s="14">
        <f>SUMIFS(Task_hours!$H$4:$H$997, Task_hours!$E$4:$E$997, AT$30, Task_hours!$F$4:$F$997, $A32)</f>
        <v>0</v>
      </c>
      <c r="AU32" s="14">
        <f>SUMIFS(Task_hours!$H$4:$H$997, Task_hours!$E$4:$E$997, AT$30, Task_hours!$G$4:$G$997, $A32)</f>
        <v>0</v>
      </c>
      <c r="AV32" s="14">
        <f>SUMIFS(Task_hours!$H$4:$H$997, Task_hours!$E$4:$E$997, AV$30, Task_hours!$F$4:$F$997, $A32)</f>
        <v>4.5</v>
      </c>
      <c r="AW32" s="14">
        <f>SUMIFS(Task_hours!$H$4:$H$997, Task_hours!$E$4:$E$997, AV$30, Task_hours!$G$4:$G$997, $A32)</f>
        <v>0</v>
      </c>
      <c r="AX32" s="14">
        <f>SUMIFS(Task_hours!$H$4:$H$997, Task_hours!$E$4:$E$997, AX$30, Task_hours!$F$4:$F$997, $A32)</f>
        <v>3.5</v>
      </c>
      <c r="AY32" s="14">
        <f>SUMIFS(Task_hours!$H$4:$H$997, Task_hours!$E$4:$E$997, AX$30, Task_hours!$G$4:$G$997, $A32)</f>
        <v>0.5</v>
      </c>
    </row>
    <row r="33" spans="1:51">
      <c r="A33" s="79" t="s">
        <v>66</v>
      </c>
      <c r="B33" s="14">
        <f>SUMIFS(Tasks!$H$3:$H1004, Tasks!$F$3:$F1004, $A33, Tasks!$B$3:$B1004, $A$29, Tasks!$K$3:$K1004, "Backlog")</f>
        <v>0</v>
      </c>
      <c r="C33" s="80">
        <f>SUMIFS(Tasks!$H$3:$H1004, Tasks!$G$3:$G1004, $A33, Tasks!$B$3:$B1004, $A$29, Tasks!$K$3:$K1004, "Backlog")</f>
        <v>0</v>
      </c>
      <c r="D33" s="14">
        <f>SUMIFS(Tasks!$H$3:$H1004, Tasks!$F$3:$F1004, $A33, Tasks!$B$3:$B1004, $A$29, Tasks!$K$3:$K1004, "Progress")-SUMIFS(Tasks!$I$3:$I1004, Tasks!$F$3:$F1004, $A33, Tasks!$B$3:$B1004, $A$29, Tasks!$K$3:$K1004, "Progress")</f>
        <v>0</v>
      </c>
      <c r="E33" s="80">
        <f>SUMIFS(Tasks!$H$3:$H1004, Tasks!$G$3:$G1004, $A33, Tasks!$B$3:$B1004, $A$29, Tasks!$K$3:$K1004, "Progress")-SUMIFS(Tasks!$I$3:$I1004, Tasks!$G$3:$G1004, $A33, Tasks!$B$3:$B1004, $A$29, Tasks!$K$3:$K1004, "Progress")</f>
        <v>0</v>
      </c>
      <c r="F33" s="14">
        <f t="shared" ref="F33:G33" si="44">H33+B33</f>
        <v>12</v>
      </c>
      <c r="G33" s="80">
        <f t="shared" si="44"/>
        <v>3.5</v>
      </c>
      <c r="H33" s="14">
        <f t="shared" ref="H33:I33" si="45">SUM(J33,L33,N33,P33,R33,T33,V33,X33,Z33,AB33,AD33,AF33,AH33,AJ33, AL33, AN33, AP33, AR33, AT33, AV33, AX33)</f>
        <v>12</v>
      </c>
      <c r="I33" s="81">
        <f t="shared" si="45"/>
        <v>3.5</v>
      </c>
      <c r="J33" s="14">
        <f>SUMIFS(Task_hours!$H$4:$H$997, Task_hours!$E$4:$E$997, J$30, Task_hours!$F$4:$F$997, $A33)</f>
        <v>0</v>
      </c>
      <c r="K33" s="14">
        <f>SUMIFS(Task_hours!$H$4:$H$997, Task_hours!$E$4:$E$997, J$30, Task_hours!$G$4:$G$997, $A33)</f>
        <v>0</v>
      </c>
      <c r="L33" s="14">
        <f>SUMIFS(Task_hours!$H$4:$H$997, Task_hours!$E$4:$E$997, L$30, Task_hours!$F$4:$F$997, $A33)</f>
        <v>0</v>
      </c>
      <c r="M33" s="14">
        <f>SUMIFS(Task_hours!$H$4:$H$997, Task_hours!$E$4:$E$997, L$30, Task_hours!$G$4:$G$997, $A33)</f>
        <v>0</v>
      </c>
      <c r="N33" s="14">
        <f>SUMIFS(Task_hours!$H$4:$H$997, Task_hours!$E$4:$E$997, N$30, Task_hours!$F$4:$F$997, $A33)</f>
        <v>0</v>
      </c>
      <c r="O33" s="14">
        <f>SUMIFS(Task_hours!$H$4:$H$997, Task_hours!$E$4:$E$997, N$30, Task_hours!$G$4:$G$997, $A33)</f>
        <v>0</v>
      </c>
      <c r="P33" s="14">
        <f>SUMIFS(Task_hours!$H$4:$H$997, Task_hours!$E$4:$E$997, P$30, Task_hours!$F$4:$F$997, $A33)</f>
        <v>0</v>
      </c>
      <c r="Q33" s="14">
        <f>SUMIFS(Task_hours!$H$4:$H$997, Task_hours!$E$4:$E$997, P$30, Task_hours!$G$4:$G$997, $A33)</f>
        <v>0</v>
      </c>
      <c r="R33" s="14">
        <f>SUMIFS(Task_hours!$H$4:$H$997, Task_hours!$E$4:$E$997, R$30, Task_hours!$F$4:$F$997, $A33)</f>
        <v>0</v>
      </c>
      <c r="S33" s="14">
        <f>SUMIFS(Task_hours!$H$4:$H$997, Task_hours!$E$4:$E$997, R$30, Task_hours!$G$4:$G$997, $A33)</f>
        <v>0</v>
      </c>
      <c r="T33" s="14">
        <f>SUMIFS(Task_hours!$H$4:$H$997, Task_hours!$E$4:$E$997, T$30, Task_hours!$F$4:$F$997, $A33)</f>
        <v>0</v>
      </c>
      <c r="U33" s="14">
        <f>SUMIFS(Task_hours!$H$4:$H$997, Task_hours!$E$4:$E$997, T$30, Task_hours!$G$4:$G$997, $A33)</f>
        <v>0</v>
      </c>
      <c r="V33" s="14">
        <f>SUMIFS(Task_hours!$H$4:$H$997, Task_hours!$E$4:$E$997, V$30, Task_hours!$F$4:$F$997, $A33)</f>
        <v>0</v>
      </c>
      <c r="W33" s="14">
        <f>SUMIFS(Task_hours!$H$4:$H$997, Task_hours!$E$4:$E$997, V$30, Task_hours!$G$4:$G$997, $A33)</f>
        <v>0</v>
      </c>
      <c r="X33" s="14">
        <f>SUMIFS(Task_hours!$H$4:$H$997, Task_hours!$E$4:$E$997, X$30, Task_hours!$F$4:$F$997, $A33)</f>
        <v>1</v>
      </c>
      <c r="Y33" s="14">
        <f>SUMIFS(Task_hours!$H$4:$H$997, Task_hours!$E$4:$E$997, X$30, Task_hours!$G$4:$G$997, $A33)</f>
        <v>0</v>
      </c>
      <c r="Z33" s="14">
        <f>SUMIFS(Task_hours!$H$4:$H$997, Task_hours!$E$4:$E$997, Z$30, Task_hours!$F$4:$F$997, $A33)</f>
        <v>6</v>
      </c>
      <c r="AA33" s="14">
        <f>SUMIFS(Task_hours!$H$4:$H$997, Task_hours!$E$4:$E$997, Z$30, Task_hours!$G$4:$G$997, $A33)</f>
        <v>0</v>
      </c>
      <c r="AB33" s="14">
        <f>SUMIFS(Task_hours!$H$4:$H$997, Task_hours!$E$4:$E$997, AB$30, Task_hours!$F$4:$F$997, $A33)</f>
        <v>0</v>
      </c>
      <c r="AC33" s="14">
        <f>SUMIFS(Task_hours!$H$4:$H$997, Task_hours!$E$4:$E$997, AB$30, Task_hours!$G$4:$G$997, $A33)</f>
        <v>3</v>
      </c>
      <c r="AD33" s="14">
        <f>SUMIFS(Task_hours!$H$4:$H$997, Task_hours!$E$4:$E$997, AD$30, Task_hours!$F$4:$F$997, $A33)</f>
        <v>0</v>
      </c>
      <c r="AE33" s="14">
        <f>SUMIFS(Task_hours!$H$4:$H$997, Task_hours!$E$4:$E$997, AD$30, Task_hours!$G$4:$G$997, $A33)</f>
        <v>0.5</v>
      </c>
      <c r="AF33" s="14">
        <f>SUMIFS(Task_hours!$H$4:$H$997, Task_hours!$E$4:$E$997, AF$30, Task_hours!$F$4:$F$997, $A33)</f>
        <v>0</v>
      </c>
      <c r="AG33" s="14">
        <f>SUMIFS(Task_hours!$H$4:$H$997, Task_hours!$E$4:$E$997, AF$30, Task_hours!$G$4:$G$997, $A33)</f>
        <v>0</v>
      </c>
      <c r="AH33" s="14">
        <f>SUMIFS(Task_hours!$H$4:$H$997, Task_hours!$E$4:$E$997, AH$30, Task_hours!$F$4:$F$997, $A33)</f>
        <v>5</v>
      </c>
      <c r="AI33" s="14">
        <f>SUMIFS(Task_hours!$H$4:$H$997, Task_hours!$E$4:$E$997, AH$30, Task_hours!$G$4:$G$997, $A33)</f>
        <v>0</v>
      </c>
      <c r="AJ33" s="14">
        <f>SUMIFS(Task_hours!$H$4:$H$997, Task_hours!$E$4:$E$997, AJ$30, Task_hours!$F$4:$F$997, $A33)</f>
        <v>0</v>
      </c>
      <c r="AK33" s="14">
        <f>SUMIFS(Task_hours!$H$4:$H$997, Task_hours!$E$4:$E$997, AJ$30, Task_hours!$G$4:$G$997, $A33)</f>
        <v>0</v>
      </c>
      <c r="AL33" s="14">
        <f>SUMIFS(Task_hours!$H$4:$H$997, Task_hours!$E$4:$E$997, AL$30, Task_hours!$F$4:$F$997, $A33)</f>
        <v>0</v>
      </c>
      <c r="AM33" s="14">
        <f>SUMIFS(Task_hours!$H$4:$H$997, Task_hours!$E$4:$E$997, AL$30, Task_hours!$G$4:$G$997, $A33)</f>
        <v>0</v>
      </c>
      <c r="AN33" s="14">
        <f>SUMIFS(Task_hours!$H$4:$H$997, Task_hours!$E$4:$E$997, AN$30, Task_hours!$F$4:$F$997, $A33)</f>
        <v>0</v>
      </c>
      <c r="AO33" s="14">
        <f>SUMIFS(Task_hours!$H$4:$H$997, Task_hours!$E$4:$E$997, AN$30, Task_hours!$G$4:$G$997, $A33)</f>
        <v>0</v>
      </c>
      <c r="AP33" s="14">
        <f>SUMIFS(Task_hours!$H$4:$H$997, Task_hours!$E$4:$E$997, AP$30, Task_hours!$F$4:$F$997, $A33)</f>
        <v>0</v>
      </c>
      <c r="AQ33" s="14">
        <f>SUMIFS(Task_hours!$H$4:$H$997, Task_hours!$E$4:$E$997, AP$30, Task_hours!$G$4:$G$997, $A33)</f>
        <v>0</v>
      </c>
      <c r="AR33" s="14">
        <f>SUMIFS(Task_hours!$H$4:$H$997, Task_hours!$E$4:$E$997, AR$30, Task_hours!$F$4:$F$997, $A33)</f>
        <v>0</v>
      </c>
      <c r="AS33" s="14">
        <f>SUMIFS(Task_hours!$H$4:$H$997, Task_hours!$E$4:$E$997, AR$30, Task_hours!$G$4:$G$997, $A33)</f>
        <v>0</v>
      </c>
      <c r="AT33" s="14">
        <f>SUMIFS(Task_hours!$H$4:$H$997, Task_hours!$E$4:$E$997, AT$30, Task_hours!$F$4:$F$997, $A33)</f>
        <v>0</v>
      </c>
      <c r="AU33" s="14">
        <f>SUMIFS(Task_hours!$H$4:$H$997, Task_hours!$E$4:$E$997, AT$30, Task_hours!$G$4:$G$997, $A33)</f>
        <v>0</v>
      </c>
      <c r="AV33" s="14">
        <f>SUMIFS(Task_hours!$H$4:$H$997, Task_hours!$E$4:$E$997, AV$30, Task_hours!$F$4:$F$997, $A33)</f>
        <v>0</v>
      </c>
      <c r="AW33" s="14">
        <f>SUMIFS(Task_hours!$H$4:$H$997, Task_hours!$E$4:$E$997, AV$30, Task_hours!$G$4:$G$997, $A33)</f>
        <v>0</v>
      </c>
      <c r="AX33" s="14">
        <f>SUMIFS(Task_hours!$H$4:$H$997, Task_hours!$E$4:$E$997, AX$30, Task_hours!$F$4:$F$997, $A33)</f>
        <v>0</v>
      </c>
      <c r="AY33" s="14">
        <f>SUMIFS(Task_hours!$H$4:$H$997, Task_hours!$E$4:$E$997, AX$30, Task_hours!$G$4:$G$997, $A33)</f>
        <v>0</v>
      </c>
    </row>
    <row r="34" spans="1:51">
      <c r="A34" s="79" t="s">
        <v>56</v>
      </c>
      <c r="B34" s="14">
        <f>SUMIFS(Tasks!$H$3:$H1004, Tasks!$F$3:$F1004, $A34, Tasks!$B$3:$B1004, $A$29, Tasks!$K$3:$K1004, "Backlog")</f>
        <v>0</v>
      </c>
      <c r="C34" s="80">
        <f>SUMIFS(Tasks!$H$3:$H1004, Tasks!$G$3:$G1004, $A34, Tasks!$B$3:$B1004, $A$29, Tasks!$K$3:$K1004, "Backlog")</f>
        <v>0</v>
      </c>
      <c r="D34" s="14">
        <f>SUMIFS(Tasks!$H$3:$H1004, Tasks!$F$3:$F1004, $A34, Tasks!$B$3:$B1004, $A$29, Tasks!$K$3:$K1004, "Progress")-SUMIFS(Tasks!$I$3:$I1004, Tasks!$F$3:$F1004, $A34, Tasks!$B$3:$B1004, $A$29, Tasks!$K$3:$K1004, "Progress")</f>
        <v>0</v>
      </c>
      <c r="E34" s="80">
        <f>SUMIFS(Tasks!$H$3:$H1004, Tasks!$G$3:$G1004, $A34, Tasks!$B$3:$B1004, $A$29, Tasks!$K$3:$K1004, "Progress")-SUMIFS(Tasks!$I$3:$I1004, Tasks!$G$3:$G1004, $A34, Tasks!$B$3:$B1004, $A$29, Tasks!$K$3:$K1004, "Progress")</f>
        <v>0</v>
      </c>
      <c r="F34" s="14">
        <f t="shared" ref="F34:G34" si="46">H34+B34</f>
        <v>15</v>
      </c>
      <c r="G34" s="80">
        <f t="shared" si="46"/>
        <v>9</v>
      </c>
      <c r="H34" s="14">
        <f t="shared" ref="H34:I34" si="47">SUM(J34,L34,N34,P34,R34,T34,V34,X34,Z34,AB34,AD34,AF34,AH34,AJ34, AL34, AN34, AP34, AR34, AT34, AV34, AX34)</f>
        <v>15</v>
      </c>
      <c r="I34" s="81">
        <f t="shared" si="47"/>
        <v>9</v>
      </c>
      <c r="J34" s="14">
        <f>SUMIFS(Task_hours!$H$4:$H$997, Task_hours!$E$4:$E$997, J$30, Task_hours!$F$4:$F$997, $A34)</f>
        <v>0</v>
      </c>
      <c r="K34" s="14">
        <f>SUMIFS(Task_hours!$H$4:$H$997, Task_hours!$E$4:$E$997, J$30, Task_hours!$G$4:$G$997, $A34)</f>
        <v>0</v>
      </c>
      <c r="L34" s="14">
        <f>SUMIFS(Task_hours!$H$4:$H$997, Task_hours!$E$4:$E$997, L$30, Task_hours!$F$4:$F$997, $A34)</f>
        <v>0</v>
      </c>
      <c r="M34" s="14">
        <f>SUMIFS(Task_hours!$H$4:$H$997, Task_hours!$E$4:$E$997, L$30, Task_hours!$G$4:$G$997, $A34)</f>
        <v>0</v>
      </c>
      <c r="N34" s="14">
        <f>SUMIFS(Task_hours!$H$4:$H$997, Task_hours!$E$4:$E$997, N$30, Task_hours!$F$4:$F$997, $A34)</f>
        <v>0</v>
      </c>
      <c r="O34" s="14">
        <f>SUMIFS(Task_hours!$H$4:$H$997, Task_hours!$E$4:$E$997, N$30, Task_hours!$G$4:$G$997, $A34)</f>
        <v>0</v>
      </c>
      <c r="P34" s="14">
        <f>SUMIFS(Task_hours!$H$4:$H$997, Task_hours!$E$4:$E$997, P$30, Task_hours!$F$4:$F$997, $A34)</f>
        <v>0</v>
      </c>
      <c r="Q34" s="14">
        <f>SUMIFS(Task_hours!$H$4:$H$997, Task_hours!$E$4:$E$997, P$30, Task_hours!$G$4:$G$997, $A34)</f>
        <v>0</v>
      </c>
      <c r="R34" s="14">
        <f>SUMIFS(Task_hours!$H$4:$H$997, Task_hours!$E$4:$E$997, R$30, Task_hours!$F$4:$F$997, $A34)</f>
        <v>0</v>
      </c>
      <c r="S34" s="14">
        <f>SUMIFS(Task_hours!$H$4:$H$997, Task_hours!$E$4:$E$997, R$30, Task_hours!$G$4:$G$997, $A34)</f>
        <v>0</v>
      </c>
      <c r="T34" s="14">
        <f>SUMIFS(Task_hours!$H$4:$H$997, Task_hours!$E$4:$E$997, T$30, Task_hours!$F$4:$F$997, $A34)</f>
        <v>0</v>
      </c>
      <c r="U34" s="14">
        <f>SUMIFS(Task_hours!$H$4:$H$997, Task_hours!$E$4:$E$997, T$30, Task_hours!$G$4:$G$997, $A34)</f>
        <v>1</v>
      </c>
      <c r="V34" s="14">
        <f>SUMIFS(Task_hours!$H$4:$H$997, Task_hours!$E$4:$E$997, V$30, Task_hours!$F$4:$F$997, $A34)</f>
        <v>0</v>
      </c>
      <c r="W34" s="14">
        <f>SUMIFS(Task_hours!$H$4:$H$997, Task_hours!$E$4:$E$997, V$30, Task_hours!$G$4:$G$997, $A34)</f>
        <v>6</v>
      </c>
      <c r="X34" s="14">
        <f>SUMIFS(Task_hours!$H$4:$H$997, Task_hours!$E$4:$E$997, X$30, Task_hours!$F$4:$F$997, $A34)</f>
        <v>0</v>
      </c>
      <c r="Y34" s="14">
        <f>SUMIFS(Task_hours!$H$4:$H$997, Task_hours!$E$4:$E$997, X$30, Task_hours!$G$4:$G$997, $A34)</f>
        <v>0</v>
      </c>
      <c r="Z34" s="14">
        <f>SUMIFS(Task_hours!$H$4:$H$997, Task_hours!$E$4:$E$997, Z$30, Task_hours!$F$4:$F$997, $A34)</f>
        <v>0</v>
      </c>
      <c r="AA34" s="14">
        <f>SUMIFS(Task_hours!$H$4:$H$997, Task_hours!$E$4:$E$997, Z$30, Task_hours!$G$4:$G$997, $A34)</f>
        <v>0</v>
      </c>
      <c r="AB34" s="14">
        <f>SUMIFS(Task_hours!$H$4:$H$997, Task_hours!$E$4:$E$997, AB$30, Task_hours!$F$4:$F$997, $A34)</f>
        <v>0</v>
      </c>
      <c r="AC34" s="14">
        <f>SUMIFS(Task_hours!$H$4:$H$997, Task_hours!$E$4:$E$997, AB$30, Task_hours!$G$4:$G$997, $A34)</f>
        <v>0</v>
      </c>
      <c r="AD34" s="14">
        <f>SUMIFS(Task_hours!$H$4:$H$997, Task_hours!$E$4:$E$997, AD$30, Task_hours!$F$4:$F$997, $A34)</f>
        <v>6</v>
      </c>
      <c r="AE34" s="14">
        <f>SUMIFS(Task_hours!$H$4:$H$997, Task_hours!$E$4:$E$997, AD$30, Task_hours!$G$4:$G$997, $A34)</f>
        <v>0</v>
      </c>
      <c r="AF34" s="14">
        <f>SUMIFS(Task_hours!$H$4:$H$997, Task_hours!$E$4:$E$997, AF$30, Task_hours!$F$4:$F$997, $A34)</f>
        <v>8</v>
      </c>
      <c r="AG34" s="14">
        <f>SUMIFS(Task_hours!$H$4:$H$997, Task_hours!$E$4:$E$997, AF$30, Task_hours!$G$4:$G$997, $A34)</f>
        <v>0</v>
      </c>
      <c r="AH34" s="14">
        <f>SUMIFS(Task_hours!$H$4:$H$997, Task_hours!$E$4:$E$997, AH$30, Task_hours!$F$4:$F$997, $A34)</f>
        <v>0</v>
      </c>
      <c r="AI34" s="14">
        <f>SUMIFS(Task_hours!$H$4:$H$997, Task_hours!$E$4:$E$997, AH$30, Task_hours!$G$4:$G$997, $A34)</f>
        <v>0</v>
      </c>
      <c r="AJ34" s="14">
        <f>SUMIFS(Task_hours!$H$4:$H$997, Task_hours!$E$4:$E$997, AJ$30, Task_hours!$F$4:$F$997, $A34)</f>
        <v>0</v>
      </c>
      <c r="AK34" s="14">
        <f>SUMIFS(Task_hours!$H$4:$H$997, Task_hours!$E$4:$E$997, AJ$30, Task_hours!$G$4:$G$997, $A34)</f>
        <v>0</v>
      </c>
      <c r="AL34" s="14">
        <f>SUMIFS(Task_hours!$H$4:$H$997, Task_hours!$E$4:$E$997, AL$30, Task_hours!$F$4:$F$997, $A34)</f>
        <v>0</v>
      </c>
      <c r="AM34" s="14">
        <f>SUMIFS(Task_hours!$H$4:$H$997, Task_hours!$E$4:$E$997, AL$30, Task_hours!$G$4:$G$997, $A34)</f>
        <v>0</v>
      </c>
      <c r="AN34" s="14">
        <f>SUMIFS(Task_hours!$H$4:$H$997, Task_hours!$E$4:$E$997, AN$30, Task_hours!$F$4:$F$997, $A34)</f>
        <v>0</v>
      </c>
      <c r="AO34" s="14">
        <f>SUMIFS(Task_hours!$H$4:$H$997, Task_hours!$E$4:$E$997, AN$30, Task_hours!$G$4:$G$997, $A34)</f>
        <v>0</v>
      </c>
      <c r="AP34" s="14">
        <f>SUMIFS(Task_hours!$H$4:$H$997, Task_hours!$E$4:$E$997, AP$30, Task_hours!$F$4:$F$997, $A34)</f>
        <v>0</v>
      </c>
      <c r="AQ34" s="14">
        <f>SUMIFS(Task_hours!$H$4:$H$997, Task_hours!$E$4:$E$997, AP$30, Task_hours!$G$4:$G$997, $A34)</f>
        <v>0</v>
      </c>
      <c r="AR34" s="14">
        <f>SUMIFS(Task_hours!$H$4:$H$997, Task_hours!$E$4:$E$997, AR$30, Task_hours!$F$4:$F$997, $A34)</f>
        <v>0</v>
      </c>
      <c r="AS34" s="14">
        <f>SUMIFS(Task_hours!$H$4:$H$997, Task_hours!$E$4:$E$997, AR$30, Task_hours!$G$4:$G$997, $A34)</f>
        <v>0</v>
      </c>
      <c r="AT34" s="14">
        <f>SUMIFS(Task_hours!$H$4:$H$997, Task_hours!$E$4:$E$997, AT$30, Task_hours!$F$4:$F$997, $A34)</f>
        <v>0</v>
      </c>
      <c r="AU34" s="14">
        <f>SUMIFS(Task_hours!$H$4:$H$997, Task_hours!$E$4:$E$997, AT$30, Task_hours!$G$4:$G$997, $A34)</f>
        <v>0</v>
      </c>
      <c r="AV34" s="14">
        <f>SUMIFS(Task_hours!$H$4:$H$997, Task_hours!$E$4:$E$997, AV$30, Task_hours!$F$4:$F$997, $A34)</f>
        <v>0</v>
      </c>
      <c r="AW34" s="14">
        <f>SUMIFS(Task_hours!$H$4:$H$997, Task_hours!$E$4:$E$997, AV$30, Task_hours!$G$4:$G$997, $A34)</f>
        <v>2</v>
      </c>
      <c r="AX34" s="14">
        <f>SUMIFS(Task_hours!$H$4:$H$997, Task_hours!$E$4:$E$997, AX$30, Task_hours!$F$4:$F$997, $A34)</f>
        <v>1</v>
      </c>
      <c r="AY34" s="14">
        <f>SUMIFS(Task_hours!$H$4:$H$997, Task_hours!$E$4:$E$997, AX$30, Task_hours!$G$4:$G$997, $A34)</f>
        <v>0</v>
      </c>
    </row>
    <row r="35" spans="1:51">
      <c r="A35" s="79" t="s">
        <v>49</v>
      </c>
      <c r="B35" s="14">
        <f>SUMIFS(Tasks!$H$3:$H1004, Tasks!$F$3:$F1004, $A35, Tasks!$B$3:$B1004, $A$29, Tasks!$K$3:$K1004, "Backlog")</f>
        <v>0</v>
      </c>
      <c r="C35" s="80">
        <f>SUMIFS(Tasks!$H$3:$H1004, Tasks!$G$3:$G1004, $A35, Tasks!$B$3:$B1004, $A$29, Tasks!$K$3:$K1004, "Backlog")</f>
        <v>0</v>
      </c>
      <c r="D35" s="14">
        <f>SUMIFS(Tasks!$H$3:$H1004, Tasks!$F$3:$F1004, $A35, Tasks!$B$3:$B1004, $A$29, Tasks!$K$3:$K1004, "Progress")-SUMIFS(Tasks!$I$3:$I1004, Tasks!$F$3:$F1004, $A35, Tasks!$B$3:$B1004, $A$29, Tasks!$K$3:$K1004, "Progress")</f>
        <v>0</v>
      </c>
      <c r="E35" s="80">
        <f>SUMIFS(Tasks!$H$3:$H1004, Tasks!$G$3:$G1004, $A35, Tasks!$B$3:$B1004, $A$29, Tasks!$K$3:$K1004, "Progress")-SUMIFS(Tasks!$I$3:$I1004, Tasks!$G$3:$G1004, $A35, Tasks!$B$3:$B1004, $A$29, Tasks!$K$3:$K1004, "Progress")</f>
        <v>0</v>
      </c>
      <c r="F35" s="14">
        <f t="shared" ref="F35:G35" si="48">H35+B35</f>
        <v>19.5</v>
      </c>
      <c r="G35" s="80">
        <f t="shared" si="48"/>
        <v>12.5</v>
      </c>
      <c r="H35" s="14">
        <f t="shared" ref="H35:I35" si="49">SUM(J35,L35,N35,P35,R35,T35,V35,X35,Z35,AB35,AD35,AF35,AH35,AJ35, AL35, AN35, AP35, AR35, AT35, AV35, AX35)</f>
        <v>19.5</v>
      </c>
      <c r="I35" s="81">
        <f t="shared" si="49"/>
        <v>12.5</v>
      </c>
      <c r="J35" s="14">
        <f>SUMIFS(Task_hours!$H$4:$H$997, Task_hours!$E$4:$E$997, J$30, Task_hours!$F$4:$F$997, $A35)</f>
        <v>0</v>
      </c>
      <c r="K35" s="14">
        <f>SUMIFS(Task_hours!$H$4:$H$997, Task_hours!$E$4:$E$997, J$30, Task_hours!$G$4:$G$997, $A35)</f>
        <v>0</v>
      </c>
      <c r="L35" s="14">
        <f>SUMIFS(Task_hours!$H$4:$H$997, Task_hours!$E$4:$E$997, L$30, Task_hours!$F$4:$F$997, $A35)</f>
        <v>0</v>
      </c>
      <c r="M35" s="14">
        <f>SUMIFS(Task_hours!$H$4:$H$997, Task_hours!$E$4:$E$997, L$30, Task_hours!$G$4:$G$997, $A35)</f>
        <v>0</v>
      </c>
      <c r="N35" s="14">
        <f>SUMIFS(Task_hours!$H$4:$H$997, Task_hours!$E$4:$E$997, N$30, Task_hours!$F$4:$F$997, $A35)</f>
        <v>0</v>
      </c>
      <c r="O35" s="14">
        <f>SUMIFS(Task_hours!$H$4:$H$997, Task_hours!$E$4:$E$997, N$30, Task_hours!$G$4:$G$997, $A35)</f>
        <v>0</v>
      </c>
      <c r="P35" s="14">
        <f>SUMIFS(Task_hours!$H$4:$H$997, Task_hours!$E$4:$E$997, P$30, Task_hours!$F$4:$F$997, $A35)</f>
        <v>0</v>
      </c>
      <c r="Q35" s="14">
        <f>SUMIFS(Task_hours!$H$4:$H$997, Task_hours!$E$4:$E$997, P$30, Task_hours!$G$4:$G$997, $A35)</f>
        <v>0</v>
      </c>
      <c r="R35" s="14">
        <f>SUMIFS(Task_hours!$H$4:$H$997, Task_hours!$E$4:$E$997, R$30, Task_hours!$F$4:$F$997, $A35)</f>
        <v>1</v>
      </c>
      <c r="S35" s="14">
        <f>SUMIFS(Task_hours!$H$4:$H$997, Task_hours!$E$4:$E$997, R$30, Task_hours!$G$4:$G$997, $A35)</f>
        <v>2</v>
      </c>
      <c r="T35" s="14">
        <f>SUMIFS(Task_hours!$H$4:$H$997, Task_hours!$E$4:$E$997, T$30, Task_hours!$F$4:$F$997, $A35)</f>
        <v>0</v>
      </c>
      <c r="U35" s="14">
        <f>SUMIFS(Task_hours!$H$4:$H$997, Task_hours!$E$4:$E$997, T$30, Task_hours!$G$4:$G$997, $A35)</f>
        <v>2</v>
      </c>
      <c r="V35" s="14">
        <f>SUMIFS(Task_hours!$H$4:$H$997, Task_hours!$E$4:$E$997, V$30, Task_hours!$F$4:$F$997, $A35)</f>
        <v>0</v>
      </c>
      <c r="W35" s="14">
        <f>SUMIFS(Task_hours!$H$4:$H$997, Task_hours!$E$4:$E$997, V$30, Task_hours!$G$4:$G$997, $A35)</f>
        <v>0</v>
      </c>
      <c r="X35" s="14">
        <f>SUMIFS(Task_hours!$H$4:$H$997, Task_hours!$E$4:$E$997, X$30, Task_hours!$F$4:$F$997, $A35)</f>
        <v>1.5</v>
      </c>
      <c r="Y35" s="14">
        <f>SUMIFS(Task_hours!$H$4:$H$997, Task_hours!$E$4:$E$997, X$30, Task_hours!$G$4:$G$997, $A35)</f>
        <v>0</v>
      </c>
      <c r="Z35" s="14">
        <f>SUMIFS(Task_hours!$H$4:$H$997, Task_hours!$E$4:$E$997, Z$30, Task_hours!$F$4:$F$997, $A35)</f>
        <v>4.5</v>
      </c>
      <c r="AA35" s="14">
        <f>SUMIFS(Task_hours!$H$4:$H$997, Task_hours!$E$4:$E$997, Z$30, Task_hours!$G$4:$G$997, $A35)</f>
        <v>0</v>
      </c>
      <c r="AB35" s="14">
        <f>SUMIFS(Task_hours!$H$4:$H$997, Task_hours!$E$4:$E$997, AB$30, Task_hours!$F$4:$F$997, $A35)</f>
        <v>0.5</v>
      </c>
      <c r="AC35" s="14">
        <f>SUMIFS(Task_hours!$H$4:$H$997, Task_hours!$E$4:$E$997, AB$30, Task_hours!$G$4:$G$997, $A35)</f>
        <v>2</v>
      </c>
      <c r="AD35" s="14">
        <f>SUMIFS(Task_hours!$H$4:$H$997, Task_hours!$E$4:$E$997, AD$30, Task_hours!$F$4:$F$997, $A35)</f>
        <v>2</v>
      </c>
      <c r="AE35" s="14">
        <f>SUMIFS(Task_hours!$H$4:$H$997, Task_hours!$E$4:$E$997, AD$30, Task_hours!$G$4:$G$997, $A35)</f>
        <v>0.5</v>
      </c>
      <c r="AF35" s="14">
        <f>SUMIFS(Task_hours!$H$4:$H$997, Task_hours!$E$4:$E$997, AF$30, Task_hours!$F$4:$F$997, $A35)</f>
        <v>0.5</v>
      </c>
      <c r="AG35" s="14">
        <f>SUMIFS(Task_hours!$H$4:$H$997, Task_hours!$E$4:$E$997, AF$30, Task_hours!$G$4:$G$997, $A35)</f>
        <v>0</v>
      </c>
      <c r="AH35" s="14">
        <f>SUMIFS(Task_hours!$H$4:$H$997, Task_hours!$E$4:$E$997, AH$30, Task_hours!$F$4:$F$997, $A35)</f>
        <v>0</v>
      </c>
      <c r="AI35" s="14">
        <f>SUMIFS(Task_hours!$H$4:$H$997, Task_hours!$E$4:$E$997, AH$30, Task_hours!$G$4:$G$997, $A35)</f>
        <v>0</v>
      </c>
      <c r="AJ35" s="14">
        <f>SUMIFS(Task_hours!$H$4:$H$997, Task_hours!$E$4:$E$997, AJ$30, Task_hours!$F$4:$F$997, $A35)</f>
        <v>6.5</v>
      </c>
      <c r="AK35" s="14">
        <f>SUMIFS(Task_hours!$H$4:$H$997, Task_hours!$E$4:$E$997, AJ$30, Task_hours!$G$4:$G$997, $A35)</f>
        <v>0</v>
      </c>
      <c r="AL35" s="14">
        <f>SUMIFS(Task_hours!$H$4:$H$997, Task_hours!$E$4:$E$997, AL$30, Task_hours!$F$4:$F$997, $A35)</f>
        <v>3</v>
      </c>
      <c r="AM35" s="14">
        <f>SUMIFS(Task_hours!$H$4:$H$997, Task_hours!$E$4:$E$997, AL$30, Task_hours!$G$4:$G$997, $A35)</f>
        <v>1.5</v>
      </c>
      <c r="AN35" s="14">
        <f>SUMIFS(Task_hours!$H$4:$H$997, Task_hours!$E$4:$E$997, AN$30, Task_hours!$F$4:$F$997, $A35)</f>
        <v>0</v>
      </c>
      <c r="AO35" s="14">
        <f>SUMIFS(Task_hours!$H$4:$H$997, Task_hours!$E$4:$E$997, AN$30, Task_hours!$G$4:$G$997, $A35)</f>
        <v>0</v>
      </c>
      <c r="AP35" s="14">
        <f>SUMIFS(Task_hours!$H$4:$H$997, Task_hours!$E$4:$E$997, AP$30, Task_hours!$F$4:$F$997, $A35)</f>
        <v>0</v>
      </c>
      <c r="AQ35" s="14">
        <f>SUMIFS(Task_hours!$H$4:$H$997, Task_hours!$E$4:$E$997, AP$30, Task_hours!$G$4:$G$997, $A35)</f>
        <v>3</v>
      </c>
      <c r="AR35" s="14">
        <f>SUMIFS(Task_hours!$H$4:$H$997, Task_hours!$E$4:$E$997, AR$30, Task_hours!$F$4:$F$997, $A35)</f>
        <v>0</v>
      </c>
      <c r="AS35" s="14">
        <f>SUMIFS(Task_hours!$H$4:$H$997, Task_hours!$E$4:$E$997, AR$30, Task_hours!$G$4:$G$997, $A35)</f>
        <v>1.5</v>
      </c>
      <c r="AT35" s="14">
        <f>SUMIFS(Task_hours!$H$4:$H$997, Task_hours!$E$4:$E$997, AT$30, Task_hours!$F$4:$F$997, $A35)</f>
        <v>0</v>
      </c>
      <c r="AU35" s="14">
        <f>SUMIFS(Task_hours!$H$4:$H$997, Task_hours!$E$4:$E$997, AT$30, Task_hours!$G$4:$G$997, $A35)</f>
        <v>0</v>
      </c>
      <c r="AV35" s="14">
        <f>SUMIFS(Task_hours!$H$4:$H$997, Task_hours!$E$4:$E$997, AV$30, Task_hours!$F$4:$F$997, $A35)</f>
        <v>0</v>
      </c>
      <c r="AW35" s="14">
        <f>SUMIFS(Task_hours!$H$4:$H$997, Task_hours!$E$4:$E$997, AV$30, Task_hours!$G$4:$G$997, $A35)</f>
        <v>0</v>
      </c>
      <c r="AX35" s="14">
        <f>SUMIFS(Task_hours!$H$4:$H$997, Task_hours!$E$4:$E$997, AX$30, Task_hours!$F$4:$F$997, $A35)</f>
        <v>0</v>
      </c>
      <c r="AY35" s="14">
        <f>SUMIFS(Task_hours!$H$4:$H$997, Task_hours!$E$4:$E$997, AX$30, Task_hours!$G$4:$G$997, $A35)</f>
        <v>0</v>
      </c>
    </row>
    <row r="36" spans="1:51">
      <c r="A36" s="79" t="s">
        <v>45</v>
      </c>
      <c r="B36" s="14">
        <f>SUMIFS(Tasks!$H$3:$H1004, Tasks!$F$3:$F1004, $A36, Tasks!$B$3:$B1004, $A$29, Tasks!$K$3:$K1004, "Backlog")</f>
        <v>0</v>
      </c>
      <c r="C36" s="80">
        <f>SUMIFS(Tasks!$H$3:$H1004, Tasks!$G$3:$G1004, $A36, Tasks!$B$3:$B1004, $A$29, Tasks!$K$3:$K1004, "Backlog")</f>
        <v>0</v>
      </c>
      <c r="D36" s="14">
        <f>SUMIFS(Tasks!$H$3:$H1004, Tasks!$F$3:$F1004, $A36, Tasks!$B$3:$B1004, $A$29, Tasks!$K$3:$K1004, "Progress")-SUMIFS(Tasks!$I$3:$I1004, Tasks!$F$3:$F1004, $A36, Tasks!$B$3:$B1004, $A$29, Tasks!$K$3:$K1004, "Progress")</f>
        <v>0</v>
      </c>
      <c r="E36" s="80">
        <f>SUMIFS(Tasks!$H$3:$H1004, Tasks!$G$3:$G1004, $A36, Tasks!$B$3:$B1004, $A$29, Tasks!$K$3:$K1004, "Progress")-SUMIFS(Tasks!$I$3:$I1004, Tasks!$G$3:$G1004, $A36, Tasks!$B$3:$B1004, $A$29, Tasks!$K$3:$K1004, "Progress")</f>
        <v>0</v>
      </c>
      <c r="F36" s="14">
        <f t="shared" ref="F36:G36" si="50">H36+B36</f>
        <v>11</v>
      </c>
      <c r="G36" s="80">
        <f t="shared" si="50"/>
        <v>12.5</v>
      </c>
      <c r="H36" s="14">
        <f t="shared" ref="H36:I36" si="51">SUM(J36,L36,N36,P36,R36,T36,V36,X36,Z36,AB36,AD36,AF36,AH36,AJ36, AL36, AN36, AP36, AR36, AT36, AV36, AX36)</f>
        <v>11</v>
      </c>
      <c r="I36" s="81">
        <f t="shared" si="51"/>
        <v>12.5</v>
      </c>
      <c r="J36" s="14">
        <f>SUMIFS(Task_hours!$H$4:$H$997, Task_hours!$E$4:$E$997, J$30, Task_hours!$F$4:$F$997, $A36)</f>
        <v>0</v>
      </c>
      <c r="K36" s="14">
        <f>SUMIFS(Task_hours!$H$4:$H$997, Task_hours!$E$4:$E$997, J$30, Task_hours!$G$4:$G$997, $A36)</f>
        <v>0</v>
      </c>
      <c r="L36" s="14">
        <f>SUMIFS(Task_hours!$H$4:$H$997, Task_hours!$E$4:$E$997, L$30, Task_hours!$F$4:$F$997, $A36)</f>
        <v>0</v>
      </c>
      <c r="M36" s="14">
        <f>SUMIFS(Task_hours!$H$4:$H$997, Task_hours!$E$4:$E$997, L$30, Task_hours!$G$4:$G$997, $A36)</f>
        <v>0</v>
      </c>
      <c r="N36" s="14">
        <f>SUMIFS(Task_hours!$H$4:$H$997, Task_hours!$E$4:$E$997, N$30, Task_hours!$F$4:$F$997, $A36)</f>
        <v>0</v>
      </c>
      <c r="O36" s="14">
        <f>SUMIFS(Task_hours!$H$4:$H$997, Task_hours!$E$4:$E$997, N$30, Task_hours!$G$4:$G$997, $A36)</f>
        <v>0</v>
      </c>
      <c r="P36" s="14">
        <f>SUMIFS(Task_hours!$H$4:$H$997, Task_hours!$E$4:$E$997, P$30, Task_hours!$F$4:$F$997, $A36)</f>
        <v>0</v>
      </c>
      <c r="Q36" s="14">
        <f>SUMIFS(Task_hours!$H$4:$H$997, Task_hours!$E$4:$E$997, P$30, Task_hours!$G$4:$G$997, $A36)</f>
        <v>0</v>
      </c>
      <c r="R36" s="14">
        <f>SUMIFS(Task_hours!$H$4:$H$997, Task_hours!$E$4:$E$997, R$30, Task_hours!$F$4:$F$997, $A36)</f>
        <v>0</v>
      </c>
      <c r="S36" s="14">
        <f>SUMIFS(Task_hours!$H$4:$H$997, Task_hours!$E$4:$E$997, R$30, Task_hours!$G$4:$G$997, $A36)</f>
        <v>0</v>
      </c>
      <c r="T36" s="14">
        <f>SUMIFS(Task_hours!$H$4:$H$997, Task_hours!$E$4:$E$997, T$30, Task_hours!$F$4:$F$997, $A36)</f>
        <v>0</v>
      </c>
      <c r="U36" s="14">
        <f>SUMIFS(Task_hours!$H$4:$H$997, Task_hours!$E$4:$E$997, T$30, Task_hours!$G$4:$G$997, $A36)</f>
        <v>0</v>
      </c>
      <c r="V36" s="14">
        <f>SUMIFS(Task_hours!$H$4:$H$997, Task_hours!$E$4:$E$997, V$30, Task_hours!$F$4:$F$997, $A36)</f>
        <v>0</v>
      </c>
      <c r="W36" s="14">
        <f>SUMIFS(Task_hours!$H$4:$H$997, Task_hours!$E$4:$E$997, V$30, Task_hours!$G$4:$G$997, $A36)</f>
        <v>0</v>
      </c>
      <c r="X36" s="14">
        <f>SUMIFS(Task_hours!$H$4:$H$997, Task_hours!$E$4:$E$997, X$30, Task_hours!$F$4:$F$997, $A36)</f>
        <v>0</v>
      </c>
      <c r="Y36" s="14">
        <f>SUMIFS(Task_hours!$H$4:$H$997, Task_hours!$E$4:$E$997, X$30, Task_hours!$G$4:$G$997, $A36)</f>
        <v>1</v>
      </c>
      <c r="Z36" s="14">
        <f>SUMIFS(Task_hours!$H$4:$H$997, Task_hours!$E$4:$E$997, Z$30, Task_hours!$F$4:$F$997, $A36)</f>
        <v>1.5</v>
      </c>
      <c r="AA36" s="14">
        <f>SUMIFS(Task_hours!$H$4:$H$997, Task_hours!$E$4:$E$997, Z$30, Task_hours!$G$4:$G$997, $A36)</f>
        <v>11</v>
      </c>
      <c r="AB36" s="14">
        <f>SUMIFS(Task_hours!$H$4:$H$997, Task_hours!$E$4:$E$997, AB$30, Task_hours!$F$4:$F$997, $A36)</f>
        <v>2</v>
      </c>
      <c r="AC36" s="14">
        <f>SUMIFS(Task_hours!$H$4:$H$997, Task_hours!$E$4:$E$997, AB$30, Task_hours!$G$4:$G$997, $A36)</f>
        <v>0.5</v>
      </c>
      <c r="AD36" s="14">
        <f>SUMIFS(Task_hours!$H$4:$H$997, Task_hours!$E$4:$E$997, AD$30, Task_hours!$F$4:$F$997, $A36)</f>
        <v>3.5</v>
      </c>
      <c r="AE36" s="14">
        <f>SUMIFS(Task_hours!$H$4:$H$997, Task_hours!$E$4:$E$997, AD$30, Task_hours!$G$4:$G$997, $A36)</f>
        <v>0</v>
      </c>
      <c r="AF36" s="14">
        <f>SUMIFS(Task_hours!$H$4:$H$997, Task_hours!$E$4:$E$997, AF$30, Task_hours!$F$4:$F$997, $A36)</f>
        <v>0</v>
      </c>
      <c r="AG36" s="14">
        <f>SUMIFS(Task_hours!$H$4:$H$997, Task_hours!$E$4:$E$997, AF$30, Task_hours!$G$4:$G$997, $A36)</f>
        <v>0</v>
      </c>
      <c r="AH36" s="14">
        <f>SUMIFS(Task_hours!$H$4:$H$997, Task_hours!$E$4:$E$997, AH$30, Task_hours!$F$4:$F$997, $A36)</f>
        <v>0</v>
      </c>
      <c r="AI36" s="14">
        <f>SUMIFS(Task_hours!$H$4:$H$997, Task_hours!$E$4:$E$997, AH$30, Task_hours!$G$4:$G$997, $A36)</f>
        <v>0</v>
      </c>
      <c r="AJ36" s="14">
        <f>SUMIFS(Task_hours!$H$4:$H$997, Task_hours!$E$4:$E$997, AJ$30, Task_hours!$F$4:$F$997, $A36)</f>
        <v>0</v>
      </c>
      <c r="AK36" s="14">
        <f>SUMIFS(Task_hours!$H$4:$H$997, Task_hours!$E$4:$E$997, AJ$30, Task_hours!$G$4:$G$997, $A36)</f>
        <v>0</v>
      </c>
      <c r="AL36" s="14">
        <f>SUMIFS(Task_hours!$H$4:$H$997, Task_hours!$E$4:$E$997, AL$30, Task_hours!$F$4:$F$997, $A36)</f>
        <v>0</v>
      </c>
      <c r="AM36" s="14">
        <f>SUMIFS(Task_hours!$H$4:$H$997, Task_hours!$E$4:$E$997, AL$30, Task_hours!$G$4:$G$997, $A36)</f>
        <v>0</v>
      </c>
      <c r="AN36" s="14">
        <f>SUMIFS(Task_hours!$H$4:$H$997, Task_hours!$E$4:$E$997, AN$30, Task_hours!$F$4:$F$997, $A36)</f>
        <v>0</v>
      </c>
      <c r="AO36" s="14">
        <f>SUMIFS(Task_hours!$H$4:$H$997, Task_hours!$E$4:$E$997, AN$30, Task_hours!$G$4:$G$997, $A36)</f>
        <v>0</v>
      </c>
      <c r="AP36" s="14">
        <f>SUMIFS(Task_hours!$H$4:$H$997, Task_hours!$E$4:$E$997, AP$30, Task_hours!$F$4:$F$997, $A36)</f>
        <v>0</v>
      </c>
      <c r="AQ36" s="14">
        <f>SUMIFS(Task_hours!$H$4:$H$997, Task_hours!$E$4:$E$997, AP$30, Task_hours!$G$4:$G$997, $A36)</f>
        <v>0</v>
      </c>
      <c r="AR36" s="14">
        <f>SUMIFS(Task_hours!$H$4:$H$997, Task_hours!$E$4:$E$997, AR$30, Task_hours!$F$4:$F$997, $A36)</f>
        <v>0</v>
      </c>
      <c r="AS36" s="14">
        <f>SUMIFS(Task_hours!$H$4:$H$997, Task_hours!$E$4:$E$997, AR$30, Task_hours!$G$4:$G$997, $A36)</f>
        <v>0</v>
      </c>
      <c r="AT36" s="14">
        <f>SUMIFS(Task_hours!$H$4:$H$997, Task_hours!$E$4:$E$997, AT$30, Task_hours!$F$4:$F$997, $A36)</f>
        <v>0</v>
      </c>
      <c r="AU36" s="14">
        <f>SUMIFS(Task_hours!$H$4:$H$997, Task_hours!$E$4:$E$997, AT$30, Task_hours!$G$4:$G$997, $A36)</f>
        <v>0</v>
      </c>
      <c r="AV36" s="14">
        <f>SUMIFS(Task_hours!$H$4:$H$997, Task_hours!$E$4:$E$997, AV$30, Task_hours!$F$4:$F$997, $A36)</f>
        <v>2</v>
      </c>
      <c r="AW36" s="14">
        <f>SUMIFS(Task_hours!$H$4:$H$997, Task_hours!$E$4:$E$997, AV$30, Task_hours!$G$4:$G$997, $A36)</f>
        <v>0</v>
      </c>
      <c r="AX36" s="14">
        <f>SUMIFS(Task_hours!$H$4:$H$997, Task_hours!$E$4:$E$997, AX$30, Task_hours!$F$4:$F$997, $A36)</f>
        <v>2</v>
      </c>
      <c r="AY36" s="14">
        <f>SUMIFS(Task_hours!$H$4:$H$997, Task_hours!$E$4:$E$997, AX$30, Task_hours!$G$4:$G$997, $A36)</f>
        <v>0</v>
      </c>
    </row>
    <row r="37" spans="1:51">
      <c r="A37" s="79" t="s">
        <v>70</v>
      </c>
      <c r="B37" s="14">
        <f>SUMIFS(Tasks!$H$3:$H1004, Tasks!$F$3:$F1004, $A37, Tasks!$B$3:$B1004, $A$29, Tasks!$K$3:$K1004, "Backlog")</f>
        <v>0</v>
      </c>
      <c r="C37" s="80">
        <f>SUMIFS(Tasks!$H$3:$H1004, Tasks!$G$3:$G1004, $A37, Tasks!$B$3:$B1004, $A$29, Tasks!$K$3:$K1004, "Backlog")</f>
        <v>0</v>
      </c>
      <c r="D37" s="14">
        <f>SUMIFS(Tasks!$H$3:$H1004, Tasks!$F$3:$F1004, $A37, Tasks!$B$3:$B1004, $A$29, Tasks!$K$3:$K1004, "Progress")-SUMIFS(Tasks!$I$3:$I1004, Tasks!$F$3:$F1004, $A37, Tasks!$B$3:$B1004, $A$29, Tasks!$K$3:$K1004, "Progress")</f>
        <v>0</v>
      </c>
      <c r="E37" s="80">
        <f>SUMIFS(Tasks!$H$3:$H1004, Tasks!$G$3:$G1004, $A37, Tasks!$B$3:$B1004, $A$29, Tasks!$K$3:$K1004, "Progress")-SUMIFS(Tasks!$I$3:$I1004, Tasks!$G$3:$G1004, $A37, Tasks!$B$3:$B1004, $A$29, Tasks!$K$3:$K1004, "Progress")</f>
        <v>0</v>
      </c>
      <c r="F37" s="14">
        <f t="shared" ref="F37:G37" si="52">H37+B37</f>
        <v>12.5</v>
      </c>
      <c r="G37" s="80">
        <f t="shared" si="52"/>
        <v>14</v>
      </c>
      <c r="H37" s="14">
        <f t="shared" ref="H37:I37" si="53">SUM(J37,L37,N37,P37,R37,T37,V37,X37,Z37,AB37,AD37,AF37,AH37,AJ37, AL37, AN37, AP37, AR37, AT37, AV37, AX37)</f>
        <v>12.5</v>
      </c>
      <c r="I37" s="81">
        <f t="shared" si="53"/>
        <v>14</v>
      </c>
      <c r="J37" s="14">
        <f>SUMIFS(Task_hours!$H$4:$H$997, Task_hours!$E$4:$E$997, J$30, Task_hours!$F$4:$F$997, $A37)</f>
        <v>0</v>
      </c>
      <c r="K37" s="14">
        <f>SUMIFS(Task_hours!$H$4:$H$997, Task_hours!$E$4:$E$997, J$30, Task_hours!$G$4:$G$997, $A37)</f>
        <v>0</v>
      </c>
      <c r="L37" s="14">
        <f>SUMIFS(Task_hours!$H$4:$H$997, Task_hours!$E$4:$E$997, L$30, Task_hours!$F$4:$F$997, $A37)</f>
        <v>0</v>
      </c>
      <c r="M37" s="14">
        <f>SUMIFS(Task_hours!$H$4:$H$997, Task_hours!$E$4:$E$997, L$30, Task_hours!$G$4:$G$997, $A37)</f>
        <v>0</v>
      </c>
      <c r="N37" s="14">
        <f>SUMIFS(Task_hours!$H$4:$H$997, Task_hours!$E$4:$E$997, N$30, Task_hours!$F$4:$F$997, $A37)</f>
        <v>0</v>
      </c>
      <c r="O37" s="14">
        <f>SUMIFS(Task_hours!$H$4:$H$997, Task_hours!$E$4:$E$997, N$30, Task_hours!$G$4:$G$997, $A37)</f>
        <v>0</v>
      </c>
      <c r="P37" s="14">
        <f>SUMIFS(Task_hours!$H$4:$H$997, Task_hours!$E$4:$E$997, P$30, Task_hours!$F$4:$F$997, $A37)</f>
        <v>0</v>
      </c>
      <c r="Q37" s="14">
        <f>SUMIFS(Task_hours!$H$4:$H$997, Task_hours!$E$4:$E$997, P$30, Task_hours!$G$4:$G$997, $A37)</f>
        <v>0</v>
      </c>
      <c r="R37" s="14">
        <f>SUMIFS(Task_hours!$H$4:$H$997, Task_hours!$E$4:$E$997, R$30, Task_hours!$F$4:$F$997, $A37)</f>
        <v>0</v>
      </c>
      <c r="S37" s="14">
        <f>SUMIFS(Task_hours!$H$4:$H$997, Task_hours!$E$4:$E$997, R$30, Task_hours!$G$4:$G$997, $A37)</f>
        <v>0</v>
      </c>
      <c r="T37" s="14">
        <f>SUMIFS(Task_hours!$H$4:$H$997, Task_hours!$E$4:$E$997, T$30, Task_hours!$F$4:$F$997, $A37)</f>
        <v>0</v>
      </c>
      <c r="U37" s="14">
        <f>SUMIFS(Task_hours!$H$4:$H$997, Task_hours!$E$4:$E$997, T$30, Task_hours!$G$4:$G$997, $A37)</f>
        <v>0</v>
      </c>
      <c r="V37" s="14">
        <f>SUMIFS(Task_hours!$H$4:$H$997, Task_hours!$E$4:$E$997, V$30, Task_hours!$F$4:$F$997, $A37)</f>
        <v>1.5</v>
      </c>
      <c r="W37" s="14">
        <f>SUMIFS(Task_hours!$H$4:$H$997, Task_hours!$E$4:$E$997, V$30, Task_hours!$G$4:$G$997, $A37)</f>
        <v>0</v>
      </c>
      <c r="X37" s="14">
        <f>SUMIFS(Task_hours!$H$4:$H$997, Task_hours!$E$4:$E$997, X$30, Task_hours!$F$4:$F$997, $A37)</f>
        <v>3.5</v>
      </c>
      <c r="Y37" s="14">
        <f>SUMIFS(Task_hours!$H$4:$H$997, Task_hours!$E$4:$E$997, X$30, Task_hours!$G$4:$G$997, $A37)</f>
        <v>0</v>
      </c>
      <c r="Z37" s="14">
        <f>SUMIFS(Task_hours!$H$4:$H$997, Task_hours!$E$4:$E$997, Z$30, Task_hours!$F$4:$F$997, $A37)</f>
        <v>2</v>
      </c>
      <c r="AA37" s="14">
        <f>SUMIFS(Task_hours!$H$4:$H$997, Task_hours!$E$4:$E$997, Z$30, Task_hours!$G$4:$G$997, $A37)</f>
        <v>2.5</v>
      </c>
      <c r="AB37" s="14">
        <f>SUMIFS(Task_hours!$H$4:$H$997, Task_hours!$E$4:$E$997, AB$30, Task_hours!$F$4:$F$997, $A37)</f>
        <v>1</v>
      </c>
      <c r="AC37" s="14">
        <f>SUMIFS(Task_hours!$H$4:$H$997, Task_hours!$E$4:$E$997, AB$30, Task_hours!$G$4:$G$997, $A37)</f>
        <v>0</v>
      </c>
      <c r="AD37" s="14">
        <f>SUMIFS(Task_hours!$H$4:$H$997, Task_hours!$E$4:$E$997, AD$30, Task_hours!$F$4:$F$997, $A37)</f>
        <v>0</v>
      </c>
      <c r="AE37" s="14">
        <f>SUMIFS(Task_hours!$H$4:$H$997, Task_hours!$E$4:$E$997, AD$30, Task_hours!$G$4:$G$997, $A37)</f>
        <v>8.5</v>
      </c>
      <c r="AF37" s="14">
        <f>SUMIFS(Task_hours!$H$4:$H$997, Task_hours!$E$4:$E$997, AF$30, Task_hours!$F$4:$F$997, $A37)</f>
        <v>1</v>
      </c>
      <c r="AG37" s="14">
        <f>SUMIFS(Task_hours!$H$4:$H$997, Task_hours!$E$4:$E$997, AF$30, Task_hours!$G$4:$G$997, $A37)</f>
        <v>0</v>
      </c>
      <c r="AH37" s="14">
        <f>SUMIFS(Task_hours!$H$4:$H$997, Task_hours!$E$4:$E$997, AH$30, Task_hours!$F$4:$F$997, $A37)</f>
        <v>1</v>
      </c>
      <c r="AI37" s="14">
        <f>SUMIFS(Task_hours!$H$4:$H$997, Task_hours!$E$4:$E$997, AH$30, Task_hours!$G$4:$G$997, $A37)</f>
        <v>0.5</v>
      </c>
      <c r="AJ37" s="14">
        <f>SUMIFS(Task_hours!$H$4:$H$997, Task_hours!$E$4:$E$997, AJ$30, Task_hours!$F$4:$F$997, $A37)</f>
        <v>0</v>
      </c>
      <c r="AK37" s="14">
        <f>SUMIFS(Task_hours!$H$4:$H$997, Task_hours!$E$4:$E$997, AJ$30, Task_hours!$G$4:$G$997, $A37)</f>
        <v>0</v>
      </c>
      <c r="AL37" s="14">
        <f>SUMIFS(Task_hours!$H$4:$H$997, Task_hours!$E$4:$E$997, AL$30, Task_hours!$F$4:$F$997, $A37)</f>
        <v>2</v>
      </c>
      <c r="AM37" s="14">
        <f>SUMIFS(Task_hours!$H$4:$H$997, Task_hours!$E$4:$E$997, AL$30, Task_hours!$G$4:$G$997, $A37)</f>
        <v>0</v>
      </c>
      <c r="AN37" s="14">
        <f>SUMIFS(Task_hours!$H$4:$H$997, Task_hours!$E$4:$E$997, AN$30, Task_hours!$F$4:$F$997, $A37)</f>
        <v>0</v>
      </c>
      <c r="AO37" s="14">
        <f>SUMIFS(Task_hours!$H$4:$H$997, Task_hours!$E$4:$E$997, AN$30, Task_hours!$G$4:$G$997, $A37)</f>
        <v>0</v>
      </c>
      <c r="AP37" s="14">
        <f>SUMIFS(Task_hours!$H$4:$H$997, Task_hours!$E$4:$E$997, AP$30, Task_hours!$F$4:$F$997, $A37)</f>
        <v>0</v>
      </c>
      <c r="AQ37" s="14">
        <f>SUMIFS(Task_hours!$H$4:$H$997, Task_hours!$E$4:$E$997, AP$30, Task_hours!$G$4:$G$997, $A37)</f>
        <v>0</v>
      </c>
      <c r="AR37" s="14">
        <f>SUMIFS(Task_hours!$H$4:$H$997, Task_hours!$E$4:$E$997, AR$30, Task_hours!$F$4:$F$997, $A37)</f>
        <v>0</v>
      </c>
      <c r="AS37" s="14">
        <f>SUMIFS(Task_hours!$H$4:$H$997, Task_hours!$E$4:$E$997, AR$30, Task_hours!$G$4:$G$997, $A37)</f>
        <v>0</v>
      </c>
      <c r="AT37" s="14">
        <f>SUMIFS(Task_hours!$H$4:$H$997, Task_hours!$E$4:$E$997, AT$30, Task_hours!$F$4:$F$997, $A37)</f>
        <v>0</v>
      </c>
      <c r="AU37" s="14">
        <f>SUMIFS(Task_hours!$H$4:$H$997, Task_hours!$E$4:$E$997, AT$30, Task_hours!$G$4:$G$997, $A37)</f>
        <v>0.5</v>
      </c>
      <c r="AV37" s="14">
        <f>SUMIFS(Task_hours!$H$4:$H$997, Task_hours!$E$4:$E$997, AV$30, Task_hours!$F$4:$F$997, $A37)</f>
        <v>0</v>
      </c>
      <c r="AW37" s="14">
        <f>SUMIFS(Task_hours!$H$4:$H$997, Task_hours!$E$4:$E$997, AV$30, Task_hours!$G$4:$G$997, $A37)</f>
        <v>0</v>
      </c>
      <c r="AX37" s="14">
        <f>SUMIFS(Task_hours!$H$4:$H$997, Task_hours!$E$4:$E$997, AX$30, Task_hours!$F$4:$F$997, $A37)</f>
        <v>0.5</v>
      </c>
      <c r="AY37" s="14">
        <f>SUMIFS(Task_hours!$H$4:$H$997, Task_hours!$E$4:$E$997, AX$30, Task_hours!$G$4:$G$997, $A37)</f>
        <v>2</v>
      </c>
    </row>
    <row r="38" spans="1:51">
      <c r="A38" s="79" t="s">
        <v>52</v>
      </c>
      <c r="B38" s="14">
        <f>SUMIFS(Tasks!$H$3:$H1004, Tasks!$F$3:$F1004, $A38, Tasks!$B$3:$B1004, $A$29, Tasks!$K$3:$K1004, "Backlog")</f>
        <v>0</v>
      </c>
      <c r="C38" s="80">
        <f>SUMIFS(Tasks!$H$3:$H1004, Tasks!$G$3:$G1004, $A38, Tasks!$B$3:$B1004, $A$29, Tasks!$K$3:$K1004, "Backlog")</f>
        <v>0</v>
      </c>
      <c r="D38" s="14">
        <f>SUMIFS(Tasks!$H$3:$H1004, Tasks!$F$3:$F1004, $A38, Tasks!$B$3:$B1004, $A$29, Tasks!$K$3:$K1004, "Progress")-SUMIFS(Tasks!$I$3:$I1004, Tasks!$F$3:$F1004, $A38, Tasks!$B$3:$B1004, $A$29, Tasks!$K$3:$K1004, "Progress")</f>
        <v>0</v>
      </c>
      <c r="E38" s="80">
        <f>SUMIFS(Tasks!$H$3:$H1004, Tasks!$G$3:$G1004, $A38, Tasks!$B$3:$B1004, $A$29, Tasks!$K$3:$K1004, "Progress")-SUMIFS(Tasks!$I$3:$I1004, Tasks!$G$3:$G1004, $A38, Tasks!$B$3:$B1004, $A$29, Tasks!$K$3:$K1004, "Progress")</f>
        <v>0</v>
      </c>
      <c r="F38" s="14">
        <f t="shared" ref="F38:G38" si="54">H38+B38</f>
        <v>18.5</v>
      </c>
      <c r="G38" s="80">
        <f t="shared" si="54"/>
        <v>12</v>
      </c>
      <c r="H38" s="14">
        <f t="shared" ref="H38:I38" si="55">SUM(J38,L38,N38,P38,R38,T38,V38,X38,Z38,AB38,AD38,AF38,AH38,AJ38, AL38, AN38, AP38, AR38, AT38, AV38, AX38)</f>
        <v>18.5</v>
      </c>
      <c r="I38" s="81">
        <f t="shared" si="55"/>
        <v>12</v>
      </c>
      <c r="J38" s="14">
        <f>SUMIFS(Task_hours!$H$4:$H$997, Task_hours!$E$4:$E$997, J$30, Task_hours!$F$4:$F$997, $A38)</f>
        <v>0</v>
      </c>
      <c r="K38" s="14">
        <f>SUMIFS(Task_hours!$H$4:$H$997, Task_hours!$E$4:$E$997, J$30, Task_hours!$G$4:$G$997, $A38)</f>
        <v>0</v>
      </c>
      <c r="L38" s="14">
        <f>SUMIFS(Task_hours!$H$4:$H$997, Task_hours!$E$4:$E$997, L$30, Task_hours!$F$4:$F$997, $A38)</f>
        <v>0</v>
      </c>
      <c r="M38" s="14">
        <f>SUMIFS(Task_hours!$H$4:$H$997, Task_hours!$E$4:$E$997, L$30, Task_hours!$G$4:$G$997, $A38)</f>
        <v>0</v>
      </c>
      <c r="N38" s="14">
        <f>SUMIFS(Task_hours!$H$4:$H$997, Task_hours!$E$4:$E$997, N$30, Task_hours!$F$4:$F$997, $A38)</f>
        <v>0</v>
      </c>
      <c r="O38" s="14">
        <f>SUMIFS(Task_hours!$H$4:$H$997, Task_hours!$E$4:$E$997, N$30, Task_hours!$G$4:$G$997, $A38)</f>
        <v>0</v>
      </c>
      <c r="P38" s="14">
        <f>SUMIFS(Task_hours!$H$4:$H$997, Task_hours!$E$4:$E$997, P$30, Task_hours!$F$4:$F$997, $A38)</f>
        <v>0</v>
      </c>
      <c r="Q38" s="14">
        <f>SUMIFS(Task_hours!$H$4:$H$997, Task_hours!$E$4:$E$997, P$30, Task_hours!$G$4:$G$997, $A38)</f>
        <v>0</v>
      </c>
      <c r="R38" s="14">
        <f>SUMIFS(Task_hours!$H$4:$H$997, Task_hours!$E$4:$E$997, R$30, Task_hours!$F$4:$F$997, $A38)</f>
        <v>0</v>
      </c>
      <c r="S38" s="14">
        <f>SUMIFS(Task_hours!$H$4:$H$997, Task_hours!$E$4:$E$997, R$30, Task_hours!$G$4:$G$997, $A38)</f>
        <v>0</v>
      </c>
      <c r="T38" s="14">
        <f>SUMIFS(Task_hours!$H$4:$H$997, Task_hours!$E$4:$E$997, T$30, Task_hours!$F$4:$F$997, $A38)</f>
        <v>0</v>
      </c>
      <c r="U38" s="14">
        <f>SUMIFS(Task_hours!$H$4:$H$997, Task_hours!$E$4:$E$997, T$30, Task_hours!$G$4:$G$997, $A38)</f>
        <v>0</v>
      </c>
      <c r="V38" s="14">
        <f>SUMIFS(Task_hours!$H$4:$H$997, Task_hours!$E$4:$E$997, V$30, Task_hours!$F$4:$F$997, $A38)</f>
        <v>0</v>
      </c>
      <c r="W38" s="14">
        <f>SUMIFS(Task_hours!$H$4:$H$997, Task_hours!$E$4:$E$997, V$30, Task_hours!$G$4:$G$997, $A38)</f>
        <v>0</v>
      </c>
      <c r="X38" s="14">
        <f>SUMIFS(Task_hours!$H$4:$H$997, Task_hours!$E$4:$E$997, X$30, Task_hours!$F$4:$F$997, $A38)</f>
        <v>0</v>
      </c>
      <c r="Y38" s="14">
        <f>SUMIFS(Task_hours!$H$4:$H$997, Task_hours!$E$4:$E$997, X$30, Task_hours!$G$4:$G$997, $A38)</f>
        <v>0</v>
      </c>
      <c r="Z38" s="14">
        <f>SUMIFS(Task_hours!$H$4:$H$997, Task_hours!$E$4:$E$997, Z$30, Task_hours!$F$4:$F$997, $A38)</f>
        <v>7.5</v>
      </c>
      <c r="AA38" s="14">
        <f>SUMIFS(Task_hours!$H$4:$H$997, Task_hours!$E$4:$E$997, Z$30, Task_hours!$G$4:$G$997, $A38)</f>
        <v>0</v>
      </c>
      <c r="AB38" s="14">
        <f>SUMIFS(Task_hours!$H$4:$H$997, Task_hours!$E$4:$E$997, AB$30, Task_hours!$F$4:$F$997, $A38)</f>
        <v>0</v>
      </c>
      <c r="AC38" s="14">
        <f>SUMIFS(Task_hours!$H$4:$H$997, Task_hours!$E$4:$E$997, AB$30, Task_hours!$G$4:$G$997, $A38)</f>
        <v>2</v>
      </c>
      <c r="AD38" s="14">
        <f>SUMIFS(Task_hours!$H$4:$H$997, Task_hours!$E$4:$E$997, AD$30, Task_hours!$F$4:$F$997, $A38)</f>
        <v>3</v>
      </c>
      <c r="AE38" s="14">
        <f>SUMIFS(Task_hours!$H$4:$H$997, Task_hours!$E$4:$E$997, AD$30, Task_hours!$G$4:$G$997, $A38)</f>
        <v>0</v>
      </c>
      <c r="AF38" s="14">
        <f>SUMIFS(Task_hours!$H$4:$H$997, Task_hours!$E$4:$E$997, AF$30, Task_hours!$F$4:$F$997, $A38)</f>
        <v>0</v>
      </c>
      <c r="AG38" s="14">
        <f>SUMIFS(Task_hours!$H$4:$H$997, Task_hours!$E$4:$E$997, AF$30, Task_hours!$G$4:$G$997, $A38)</f>
        <v>1</v>
      </c>
      <c r="AH38" s="14">
        <f>SUMIFS(Task_hours!$H$4:$H$997, Task_hours!$E$4:$E$997, AH$30, Task_hours!$F$4:$F$997, $A38)</f>
        <v>0.5</v>
      </c>
      <c r="AI38" s="14">
        <f>SUMIFS(Task_hours!$H$4:$H$997, Task_hours!$E$4:$E$997, AH$30, Task_hours!$G$4:$G$997, $A38)</f>
        <v>1</v>
      </c>
      <c r="AJ38" s="14">
        <f>SUMIFS(Task_hours!$H$4:$H$997, Task_hours!$E$4:$E$997, AJ$30, Task_hours!$F$4:$F$997, $A38)</f>
        <v>0</v>
      </c>
      <c r="AK38" s="14">
        <f>SUMIFS(Task_hours!$H$4:$H$997, Task_hours!$E$4:$E$997, AJ$30, Task_hours!$G$4:$G$997, $A38)</f>
        <v>5</v>
      </c>
      <c r="AL38" s="14">
        <f>SUMIFS(Task_hours!$H$4:$H$997, Task_hours!$E$4:$E$997, AL$30, Task_hours!$F$4:$F$997, $A38)</f>
        <v>0</v>
      </c>
      <c r="AM38" s="14">
        <f>SUMIFS(Task_hours!$H$4:$H$997, Task_hours!$E$4:$E$997, AL$30, Task_hours!$G$4:$G$997, $A38)</f>
        <v>3</v>
      </c>
      <c r="AN38" s="14">
        <f>SUMIFS(Task_hours!$H$4:$H$997, Task_hours!$E$4:$E$997, AN$30, Task_hours!$F$4:$F$997, $A38)</f>
        <v>0</v>
      </c>
      <c r="AO38" s="14">
        <f>SUMIFS(Task_hours!$H$4:$H$997, Task_hours!$E$4:$E$997, AN$30, Task_hours!$G$4:$G$997, $A38)</f>
        <v>0</v>
      </c>
      <c r="AP38" s="14">
        <f>SUMIFS(Task_hours!$H$4:$H$997, Task_hours!$E$4:$E$997, AP$30, Task_hours!$F$4:$F$997, $A38)</f>
        <v>3</v>
      </c>
      <c r="AQ38" s="14">
        <f>SUMIFS(Task_hours!$H$4:$H$997, Task_hours!$E$4:$E$997, AP$30, Task_hours!$G$4:$G$997, $A38)</f>
        <v>0</v>
      </c>
      <c r="AR38" s="14">
        <f>SUMIFS(Task_hours!$H$4:$H$997, Task_hours!$E$4:$E$997, AR$30, Task_hours!$F$4:$F$997, $A38)</f>
        <v>1.5</v>
      </c>
      <c r="AS38" s="14">
        <f>SUMIFS(Task_hours!$H$4:$H$997, Task_hours!$E$4:$E$997, AR$30, Task_hours!$G$4:$G$997, $A38)</f>
        <v>0</v>
      </c>
      <c r="AT38" s="14">
        <f>SUMIFS(Task_hours!$H$4:$H$997, Task_hours!$E$4:$E$997, AT$30, Task_hours!$F$4:$F$997, $A38)</f>
        <v>3</v>
      </c>
      <c r="AU38" s="14">
        <f>SUMIFS(Task_hours!$H$4:$H$997, Task_hours!$E$4:$E$997, AT$30, Task_hours!$G$4:$G$997, $A38)</f>
        <v>0</v>
      </c>
      <c r="AV38" s="14">
        <f>SUMIFS(Task_hours!$H$4:$H$997, Task_hours!$E$4:$E$997, AV$30, Task_hours!$F$4:$F$997, $A38)</f>
        <v>0</v>
      </c>
      <c r="AW38" s="14">
        <f>SUMIFS(Task_hours!$H$4:$H$997, Task_hours!$E$4:$E$997, AV$30, Task_hours!$G$4:$G$997, $A38)</f>
        <v>0</v>
      </c>
      <c r="AX38" s="14">
        <f>SUMIFS(Task_hours!$H$4:$H$997, Task_hours!$E$4:$E$997, AX$30, Task_hours!$F$4:$F$997, $A38)</f>
        <v>0</v>
      </c>
      <c r="AY38" s="14">
        <f>SUMIFS(Task_hours!$H$4:$H$997, Task_hours!$E$4:$E$997, AX$30, Task_hours!$G$4:$G$997, $A38)</f>
        <v>0</v>
      </c>
    </row>
    <row r="39" spans="1:51">
      <c r="A39" s="79" t="s">
        <v>46</v>
      </c>
      <c r="B39" s="14">
        <f>SUMIFS(Tasks!$H$3:$H1004, Tasks!$F$3:$F1004, $A39, Tasks!$B$3:$B1004, $A$29, Tasks!$K$3:$K1004, "Backlog")</f>
        <v>0</v>
      </c>
      <c r="C39" s="80">
        <f>SUMIFS(Tasks!$H$3:$H1004, Tasks!$G$3:$G1004, $A39, Tasks!$B$3:$B1004, $A$29, Tasks!$K$3:$K1004, "Backlog")</f>
        <v>0</v>
      </c>
      <c r="D39" s="14">
        <f>SUMIFS(Tasks!$H$3:$H1004, Tasks!$F$3:$F1004, $A39, Tasks!$B$3:$B1004, $A$29, Tasks!$K$3:$K1004, "Progress")-SUMIFS(Tasks!$I$3:$I1004, Tasks!$F$3:$F1004, $A39, Tasks!$B$3:$B1004, $A$29, Tasks!$K$3:$K1004, "Progress")</f>
        <v>0</v>
      </c>
      <c r="E39" s="80">
        <f>SUMIFS(Tasks!$H$3:$H1004, Tasks!$G$3:$G1004, $A39, Tasks!$B$3:$B1004, $A$29, Tasks!$K$3:$K1004, "Progress")-SUMIFS(Tasks!$I$3:$I1004, Tasks!$G$3:$G1004, $A39, Tasks!$B$3:$B1004, $A$29, Tasks!$K$3:$K1004, "Progress")</f>
        <v>0</v>
      </c>
      <c r="F39" s="14">
        <f t="shared" ref="F39:G39" si="56">H39+B39</f>
        <v>12.5</v>
      </c>
      <c r="G39" s="80">
        <f t="shared" si="56"/>
        <v>6</v>
      </c>
      <c r="H39" s="14">
        <f t="shared" ref="H39:I39" si="57">SUM(J39,L39,N39,P39,R39,T39,V39,X39,Z39,AB39,AD39,AF39,AH39,AJ39, AL39, AN39, AP39, AR39, AT39, AV39, AX39)</f>
        <v>12.5</v>
      </c>
      <c r="I39" s="81">
        <f t="shared" si="57"/>
        <v>6</v>
      </c>
      <c r="J39" s="14">
        <f>SUMIFS(Task_hours!$H$4:$H$997, Task_hours!$E$4:$E$997, J$30, Task_hours!$F$4:$F$997, $A39)</f>
        <v>0</v>
      </c>
      <c r="K39" s="14">
        <f>SUMIFS(Task_hours!$H$4:$H$997, Task_hours!$E$4:$E$997, J$30, Task_hours!$G$4:$G$997, $A39)</f>
        <v>0</v>
      </c>
      <c r="L39" s="14">
        <f>SUMIFS(Task_hours!$H$4:$H$997, Task_hours!$E$4:$E$997, L$30, Task_hours!$F$4:$F$997, $A39)</f>
        <v>0</v>
      </c>
      <c r="M39" s="14">
        <f>SUMIFS(Task_hours!$H$4:$H$997, Task_hours!$E$4:$E$997, L$30, Task_hours!$G$4:$G$997, $A39)</f>
        <v>0</v>
      </c>
      <c r="N39" s="14">
        <f>SUMIFS(Task_hours!$H$4:$H$997, Task_hours!$E$4:$E$997, N$30, Task_hours!$F$4:$F$997, $A39)</f>
        <v>0</v>
      </c>
      <c r="O39" s="14">
        <f>SUMIFS(Task_hours!$H$4:$H$997, Task_hours!$E$4:$E$997, N$30, Task_hours!$G$4:$G$997, $A39)</f>
        <v>0</v>
      </c>
      <c r="P39" s="14">
        <f>SUMIFS(Task_hours!$H$4:$H$997, Task_hours!$E$4:$E$997, P$30, Task_hours!$F$4:$F$997, $A39)</f>
        <v>0</v>
      </c>
      <c r="Q39" s="14">
        <f>SUMIFS(Task_hours!$H$4:$H$997, Task_hours!$E$4:$E$997, P$30, Task_hours!$G$4:$G$997, $A39)</f>
        <v>0</v>
      </c>
      <c r="R39" s="14">
        <f>SUMIFS(Task_hours!$H$4:$H$997, Task_hours!$E$4:$E$997, R$30, Task_hours!$F$4:$F$997, $A39)</f>
        <v>2</v>
      </c>
      <c r="S39" s="14">
        <f>SUMIFS(Task_hours!$H$4:$H$997, Task_hours!$E$4:$E$997, R$30, Task_hours!$G$4:$G$997, $A39)</f>
        <v>1</v>
      </c>
      <c r="T39" s="14">
        <f>SUMIFS(Task_hours!$H$4:$H$997, Task_hours!$E$4:$E$997, T$30, Task_hours!$F$4:$F$997, $A39)</f>
        <v>2</v>
      </c>
      <c r="U39" s="14">
        <f>SUMIFS(Task_hours!$H$4:$H$997, Task_hours!$E$4:$E$997, T$30, Task_hours!$G$4:$G$997, $A39)</f>
        <v>0</v>
      </c>
      <c r="V39" s="14">
        <f>SUMIFS(Task_hours!$H$4:$H$997, Task_hours!$E$4:$E$997, V$30, Task_hours!$F$4:$F$997, $A39)</f>
        <v>1.5</v>
      </c>
      <c r="W39" s="14">
        <f>SUMIFS(Task_hours!$H$4:$H$997, Task_hours!$E$4:$E$997, V$30, Task_hours!$G$4:$G$997, $A39)</f>
        <v>0</v>
      </c>
      <c r="X39" s="14">
        <f>SUMIFS(Task_hours!$H$4:$H$997, Task_hours!$E$4:$E$997, X$30, Task_hours!$F$4:$F$997, $A39)</f>
        <v>0</v>
      </c>
      <c r="Y39" s="14">
        <f>SUMIFS(Task_hours!$H$4:$H$997, Task_hours!$E$4:$E$997, X$30, Task_hours!$G$4:$G$997, $A39)</f>
        <v>1.5</v>
      </c>
      <c r="Z39" s="14">
        <f>SUMIFS(Task_hours!$H$4:$H$997, Task_hours!$E$4:$E$997, Z$30, Task_hours!$F$4:$F$997, $A39)</f>
        <v>5</v>
      </c>
      <c r="AA39" s="14">
        <f>SUMIFS(Task_hours!$H$4:$H$997, Task_hours!$E$4:$E$997, Z$30, Task_hours!$G$4:$G$997, $A39)</f>
        <v>2.5</v>
      </c>
      <c r="AB39" s="14">
        <f>SUMIFS(Task_hours!$H$4:$H$997, Task_hours!$E$4:$E$997, AB$30, Task_hours!$F$4:$F$997, $A39)</f>
        <v>0</v>
      </c>
      <c r="AC39" s="14">
        <f>SUMIFS(Task_hours!$H$4:$H$997, Task_hours!$E$4:$E$997, AB$30, Task_hours!$G$4:$G$997, $A39)</f>
        <v>0</v>
      </c>
      <c r="AD39" s="14">
        <f>SUMIFS(Task_hours!$H$4:$H$997, Task_hours!$E$4:$E$997, AD$30, Task_hours!$F$4:$F$997, $A39)</f>
        <v>0</v>
      </c>
      <c r="AE39" s="14">
        <f>SUMIFS(Task_hours!$H$4:$H$997, Task_hours!$E$4:$E$997, AD$30, Task_hours!$G$4:$G$997, $A39)</f>
        <v>1</v>
      </c>
      <c r="AF39" s="14">
        <f>SUMIFS(Task_hours!$H$4:$H$997, Task_hours!$E$4:$E$997, AF$30, Task_hours!$F$4:$F$997, $A39)</f>
        <v>0</v>
      </c>
      <c r="AG39" s="14">
        <f>SUMIFS(Task_hours!$H$4:$H$997, Task_hours!$E$4:$E$997, AF$30, Task_hours!$G$4:$G$997, $A39)</f>
        <v>0</v>
      </c>
      <c r="AH39" s="14">
        <f>SUMIFS(Task_hours!$H$4:$H$997, Task_hours!$E$4:$E$997, AH$30, Task_hours!$F$4:$F$997, $A39)</f>
        <v>0</v>
      </c>
      <c r="AI39" s="14">
        <f>SUMIFS(Task_hours!$H$4:$H$997, Task_hours!$E$4:$E$997, AH$30, Task_hours!$G$4:$G$997, $A39)</f>
        <v>0</v>
      </c>
      <c r="AJ39" s="14">
        <f>SUMIFS(Task_hours!$H$4:$H$997, Task_hours!$E$4:$E$997, AJ$30, Task_hours!$F$4:$F$997, $A39)</f>
        <v>0</v>
      </c>
      <c r="AK39" s="14">
        <f>SUMIFS(Task_hours!$H$4:$H$997, Task_hours!$E$4:$E$997, AJ$30, Task_hours!$G$4:$G$997, $A39)</f>
        <v>0</v>
      </c>
      <c r="AL39" s="14">
        <f>SUMIFS(Task_hours!$H$4:$H$997, Task_hours!$E$4:$E$997, AL$30, Task_hours!$F$4:$F$997, $A39)</f>
        <v>0</v>
      </c>
      <c r="AM39" s="14">
        <f>SUMIFS(Task_hours!$H$4:$H$997, Task_hours!$E$4:$E$997, AL$30, Task_hours!$G$4:$G$997, $A39)</f>
        <v>0</v>
      </c>
      <c r="AN39" s="14">
        <f>SUMIFS(Task_hours!$H$4:$H$997, Task_hours!$E$4:$E$997, AN$30, Task_hours!$F$4:$F$997, $A39)</f>
        <v>0</v>
      </c>
      <c r="AO39" s="14">
        <f>SUMIFS(Task_hours!$H$4:$H$997, Task_hours!$E$4:$E$997, AN$30, Task_hours!$G$4:$G$997, $A39)</f>
        <v>0</v>
      </c>
      <c r="AP39" s="14">
        <f>SUMIFS(Task_hours!$H$4:$H$997, Task_hours!$E$4:$E$997, AP$30, Task_hours!$F$4:$F$997, $A39)</f>
        <v>0</v>
      </c>
      <c r="AQ39" s="14">
        <f>SUMIFS(Task_hours!$H$4:$H$997, Task_hours!$E$4:$E$997, AP$30, Task_hours!$G$4:$G$997, $A39)</f>
        <v>0</v>
      </c>
      <c r="AR39" s="14">
        <f>SUMIFS(Task_hours!$H$4:$H$997, Task_hours!$E$4:$E$997, AR$30, Task_hours!$F$4:$F$997, $A39)</f>
        <v>0</v>
      </c>
      <c r="AS39" s="14">
        <f>SUMIFS(Task_hours!$H$4:$H$997, Task_hours!$E$4:$E$997, AR$30, Task_hours!$G$4:$G$997, $A39)</f>
        <v>0</v>
      </c>
      <c r="AT39" s="14">
        <f>SUMIFS(Task_hours!$H$4:$H$997, Task_hours!$E$4:$E$997, AT$30, Task_hours!$F$4:$F$997, $A39)</f>
        <v>0</v>
      </c>
      <c r="AU39" s="14">
        <f>SUMIFS(Task_hours!$H$4:$H$997, Task_hours!$E$4:$E$997, AT$30, Task_hours!$G$4:$G$997, $A39)</f>
        <v>0</v>
      </c>
      <c r="AV39" s="14">
        <f>SUMIFS(Task_hours!$H$4:$H$997, Task_hours!$E$4:$E$997, AV$30, Task_hours!$F$4:$F$997, $A39)</f>
        <v>2</v>
      </c>
      <c r="AW39" s="14">
        <f>SUMIFS(Task_hours!$H$4:$H$997, Task_hours!$E$4:$E$997, AV$30, Task_hours!$G$4:$G$997, $A39)</f>
        <v>0</v>
      </c>
      <c r="AX39" s="14">
        <f>SUMIFS(Task_hours!$H$4:$H$997, Task_hours!$E$4:$E$997, AX$30, Task_hours!$F$4:$F$997, $A39)</f>
        <v>0</v>
      </c>
      <c r="AY39" s="14">
        <f>SUMIFS(Task_hours!$H$4:$H$997, Task_hours!$E$4:$E$997, AX$30, Task_hours!$G$4:$G$997, $A39)</f>
        <v>0</v>
      </c>
    </row>
    <row r="40" spans="1:51">
      <c r="A40" s="79" t="s">
        <v>63</v>
      </c>
      <c r="B40" s="14">
        <f>SUMIFS(Tasks!$H$3:$H1004, Tasks!$F$3:$F1004, $A40, Tasks!$B$3:$B1004, $A$29, Tasks!$K$3:$K1004, "Backlog")</f>
        <v>0</v>
      </c>
      <c r="C40" s="80">
        <f>SUMIFS(Tasks!$H$3:$H1004, Tasks!$G$3:$G1004, $A40, Tasks!$B$3:$B1004, $A$29, Tasks!$K$3:$K1004, "Backlog")</f>
        <v>0</v>
      </c>
      <c r="D40" s="14">
        <f>SUMIFS(Tasks!$H$3:$H1004, Tasks!$F$3:$F1004, $A40, Tasks!$B$3:$B1004, $A$29, Tasks!$K$3:$K1004, "Progress")-SUMIFS(Tasks!$I$3:$I1004, Tasks!$F$3:$F1004, $A40, Tasks!$B$3:$B1004, $A$29, Tasks!$K$3:$K1004, "Progress")</f>
        <v>0</v>
      </c>
      <c r="E40" s="80">
        <f>SUMIFS(Tasks!$H$3:$H1004, Tasks!$G$3:$G1004, $A40, Tasks!$B$3:$B1004, $A$29, Tasks!$K$3:$K1004, "Progress")-SUMIFS(Tasks!$I$3:$I1004, Tasks!$G$3:$G1004, $A40, Tasks!$B$3:$B1004, $A$29, Tasks!$K$3:$K1004, "Progress")</f>
        <v>0</v>
      </c>
      <c r="F40" s="14">
        <f t="shared" ref="F40:G40" si="58">H40+B40</f>
        <v>9.5</v>
      </c>
      <c r="G40" s="80">
        <f t="shared" si="58"/>
        <v>19</v>
      </c>
      <c r="H40" s="14">
        <f t="shared" ref="H40:I40" si="59">SUM(J40,L40,N40,P40,R40,T40,V40,X40,Z40,AB40,AD40,AF40,AH40,AJ40, AL40, AN40, AP40, AR40, AT40, AV40, AX40)</f>
        <v>9.5</v>
      </c>
      <c r="I40" s="81">
        <f t="shared" si="59"/>
        <v>19</v>
      </c>
      <c r="J40" s="14">
        <f>SUMIFS(Task_hours!$H$4:$H$997, Task_hours!$E$4:$E$997, J$30, Task_hours!$F$4:$F$997, $A40)</f>
        <v>0</v>
      </c>
      <c r="K40" s="14">
        <f>SUMIFS(Task_hours!$H$4:$H$997, Task_hours!$E$4:$E$997, J$30, Task_hours!$G$4:$G$997, $A40)</f>
        <v>0</v>
      </c>
      <c r="L40" s="14">
        <f>SUMIFS(Task_hours!$H$4:$H$997, Task_hours!$E$4:$E$997, L$30, Task_hours!$F$4:$F$997, $A40)</f>
        <v>0</v>
      </c>
      <c r="M40" s="14">
        <f>SUMIFS(Task_hours!$H$4:$H$997, Task_hours!$E$4:$E$997, L$30, Task_hours!$G$4:$G$997, $A40)</f>
        <v>0</v>
      </c>
      <c r="N40" s="14">
        <f>SUMIFS(Task_hours!$H$4:$H$997, Task_hours!$E$4:$E$997, N$30, Task_hours!$F$4:$F$997, $A40)</f>
        <v>0</v>
      </c>
      <c r="O40" s="14">
        <f>SUMIFS(Task_hours!$H$4:$H$997, Task_hours!$E$4:$E$997, N$30, Task_hours!$G$4:$G$997, $A40)</f>
        <v>0</v>
      </c>
      <c r="P40" s="14">
        <f>SUMIFS(Task_hours!$H$4:$H$997, Task_hours!$E$4:$E$997, P$30, Task_hours!$F$4:$F$997, $A40)</f>
        <v>0</v>
      </c>
      <c r="Q40" s="14">
        <f>SUMIFS(Task_hours!$H$4:$H$997, Task_hours!$E$4:$E$997, P$30, Task_hours!$G$4:$G$997, $A40)</f>
        <v>0</v>
      </c>
      <c r="R40" s="14">
        <f>SUMIFS(Task_hours!$H$4:$H$997, Task_hours!$E$4:$E$997, R$30, Task_hours!$F$4:$F$997, $A40)</f>
        <v>0</v>
      </c>
      <c r="S40" s="14">
        <f>SUMIFS(Task_hours!$H$4:$H$997, Task_hours!$E$4:$E$997, R$30, Task_hours!$G$4:$G$997, $A40)</f>
        <v>0</v>
      </c>
      <c r="T40" s="14">
        <f>SUMIFS(Task_hours!$H$4:$H$997, Task_hours!$E$4:$E$997, T$30, Task_hours!$F$4:$F$997, $A40)</f>
        <v>1</v>
      </c>
      <c r="U40" s="14">
        <f>SUMIFS(Task_hours!$H$4:$H$997, Task_hours!$E$4:$E$997, T$30, Task_hours!$G$4:$G$997, $A40)</f>
        <v>0</v>
      </c>
      <c r="V40" s="14">
        <f>SUMIFS(Task_hours!$H$4:$H$997, Task_hours!$E$4:$E$997, V$30, Task_hours!$F$4:$F$997, $A40)</f>
        <v>6</v>
      </c>
      <c r="W40" s="14">
        <f>SUMIFS(Task_hours!$H$4:$H$997, Task_hours!$E$4:$E$997, V$30, Task_hours!$G$4:$G$997, $A40)</f>
        <v>1.5</v>
      </c>
      <c r="X40" s="14">
        <f>SUMIFS(Task_hours!$H$4:$H$997, Task_hours!$E$4:$E$997, X$30, Task_hours!$F$4:$F$997, $A40)</f>
        <v>0</v>
      </c>
      <c r="Y40" s="14">
        <f>SUMIFS(Task_hours!$H$4:$H$997, Task_hours!$E$4:$E$997, X$30, Task_hours!$G$4:$G$997, $A40)</f>
        <v>3.5</v>
      </c>
      <c r="Z40" s="14">
        <f>SUMIFS(Task_hours!$H$4:$H$997, Task_hours!$E$4:$E$997, Z$30, Task_hours!$F$4:$F$997, $A40)</f>
        <v>0</v>
      </c>
      <c r="AA40" s="14">
        <f>SUMIFS(Task_hours!$H$4:$H$997, Task_hours!$E$4:$E$997, Z$30, Task_hours!$G$4:$G$997, $A40)</f>
        <v>2</v>
      </c>
      <c r="AB40" s="14">
        <f>SUMIFS(Task_hours!$H$4:$H$997, Task_hours!$E$4:$E$997, AB$30, Task_hours!$F$4:$F$997, $A40)</f>
        <v>0</v>
      </c>
      <c r="AC40" s="14">
        <f>SUMIFS(Task_hours!$H$4:$H$997, Task_hours!$E$4:$E$997, AB$30, Task_hours!$G$4:$G$997, $A40)</f>
        <v>0</v>
      </c>
      <c r="AD40" s="14">
        <f>SUMIFS(Task_hours!$H$4:$H$997, Task_hours!$E$4:$E$997, AD$30, Task_hours!$F$4:$F$997, $A40)</f>
        <v>0</v>
      </c>
      <c r="AE40" s="14">
        <f>SUMIFS(Task_hours!$H$4:$H$997, Task_hours!$E$4:$E$997, AD$30, Task_hours!$G$4:$G$997, $A40)</f>
        <v>0</v>
      </c>
      <c r="AF40" s="14">
        <f>SUMIFS(Task_hours!$H$4:$H$997, Task_hours!$E$4:$E$997, AF$30, Task_hours!$F$4:$F$997, $A40)</f>
        <v>0</v>
      </c>
      <c r="AG40" s="14">
        <f>SUMIFS(Task_hours!$H$4:$H$997, Task_hours!$E$4:$E$997, AF$30, Task_hours!$G$4:$G$997, $A40)</f>
        <v>8</v>
      </c>
      <c r="AH40" s="14">
        <f>SUMIFS(Task_hours!$H$4:$H$997, Task_hours!$E$4:$E$997, AH$30, Task_hours!$F$4:$F$997, $A40)</f>
        <v>0</v>
      </c>
      <c r="AI40" s="14">
        <f>SUMIFS(Task_hours!$H$4:$H$997, Task_hours!$E$4:$E$997, AH$30, Task_hours!$G$4:$G$997, $A40)</f>
        <v>0</v>
      </c>
      <c r="AJ40" s="14">
        <f>SUMIFS(Task_hours!$H$4:$H$997, Task_hours!$E$4:$E$997, AJ$30, Task_hours!$F$4:$F$997, $A40)</f>
        <v>0</v>
      </c>
      <c r="AK40" s="14">
        <f>SUMIFS(Task_hours!$H$4:$H$997, Task_hours!$E$4:$E$997, AJ$30, Task_hours!$G$4:$G$997, $A40)</f>
        <v>0</v>
      </c>
      <c r="AL40" s="14">
        <f>SUMIFS(Task_hours!$H$4:$H$997, Task_hours!$E$4:$E$997, AL$30, Task_hours!$F$4:$F$997, $A40)</f>
        <v>0</v>
      </c>
      <c r="AM40" s="14">
        <f>SUMIFS(Task_hours!$H$4:$H$997, Task_hours!$E$4:$E$997, AL$30, Task_hours!$G$4:$G$997, $A40)</f>
        <v>0</v>
      </c>
      <c r="AN40" s="14">
        <f>SUMIFS(Task_hours!$H$4:$H$997, Task_hours!$E$4:$E$997, AN$30, Task_hours!$F$4:$F$997, $A40)</f>
        <v>0</v>
      </c>
      <c r="AO40" s="14">
        <f>SUMIFS(Task_hours!$H$4:$H$997, Task_hours!$E$4:$E$997, AN$30, Task_hours!$G$4:$G$997, $A40)</f>
        <v>0</v>
      </c>
      <c r="AP40" s="14">
        <f>SUMIFS(Task_hours!$H$4:$H$997, Task_hours!$E$4:$E$997, AP$30, Task_hours!$F$4:$F$997, $A40)</f>
        <v>0</v>
      </c>
      <c r="AQ40" s="14">
        <f>SUMIFS(Task_hours!$H$4:$H$997, Task_hours!$E$4:$E$997, AP$30, Task_hours!$G$4:$G$997, $A40)</f>
        <v>0</v>
      </c>
      <c r="AR40" s="14">
        <f>SUMIFS(Task_hours!$H$4:$H$997, Task_hours!$E$4:$E$997, AR$30, Task_hours!$F$4:$F$997, $A40)</f>
        <v>0</v>
      </c>
      <c r="AS40" s="14">
        <f>SUMIFS(Task_hours!$H$4:$H$997, Task_hours!$E$4:$E$997, AR$30, Task_hours!$G$4:$G$997, $A40)</f>
        <v>0</v>
      </c>
      <c r="AT40" s="14">
        <f>SUMIFS(Task_hours!$H$4:$H$997, Task_hours!$E$4:$E$997, AT$30, Task_hours!$F$4:$F$997, $A40)</f>
        <v>0</v>
      </c>
      <c r="AU40" s="14">
        <f>SUMIFS(Task_hours!$H$4:$H$997, Task_hours!$E$4:$E$997, AT$30, Task_hours!$G$4:$G$997, $A40)</f>
        <v>0</v>
      </c>
      <c r="AV40" s="14">
        <f>SUMIFS(Task_hours!$H$4:$H$997, Task_hours!$E$4:$E$997, AV$30, Task_hours!$F$4:$F$997, $A40)</f>
        <v>0</v>
      </c>
      <c r="AW40" s="14">
        <f>SUMIFS(Task_hours!$H$4:$H$997, Task_hours!$E$4:$E$997, AV$30, Task_hours!$G$4:$G$997, $A40)</f>
        <v>0</v>
      </c>
      <c r="AX40" s="14">
        <f>SUMIFS(Task_hours!$H$4:$H$997, Task_hours!$E$4:$E$997, AX$30, Task_hours!$F$4:$F$997, $A40)</f>
        <v>2.5</v>
      </c>
      <c r="AY40" s="14">
        <f>SUMIFS(Task_hours!$H$4:$H$997, Task_hours!$E$4:$E$997, AX$30, Task_hours!$G$4:$G$997, $A40)</f>
        <v>4</v>
      </c>
    </row>
    <row r="41" spans="1:51">
      <c r="A41" s="87" t="s">
        <v>59</v>
      </c>
      <c r="B41" s="14">
        <f>SUMIFS(Tasks!$H$3:$H1004, Tasks!$F$3:$F1004, $A41, Tasks!$B$3:$B1004, $A$29, Tasks!$K$3:$K1004, "Backlog")</f>
        <v>0</v>
      </c>
      <c r="C41" s="80">
        <f>SUMIFS(Tasks!$H$3:$H1004, Tasks!$G$3:$G1004, $A41, Tasks!$B$3:$B1004, $A$29, Tasks!$K$3:$K1004, "Backlog")</f>
        <v>0</v>
      </c>
      <c r="D41" s="14">
        <f>SUMIFS(Tasks!$H$3:$H1004, Tasks!$F$3:$F1004, $A41, Tasks!$B$3:$B1004, $A$29, Tasks!$K$3:$K1004, "Progress")-SUMIFS(Tasks!$I$3:$I1004, Tasks!$F$3:$F1004, $A41, Tasks!$B$3:$B1004, $A$29, Tasks!$K$3:$K1004, "Progress")</f>
        <v>0</v>
      </c>
      <c r="E41" s="80">
        <f>SUMIFS(Tasks!$H$3:$H1004, Tasks!$G$3:$G1004, $A41, Tasks!$B$3:$B1004, $A$29, Tasks!$K$3:$K1004, "Progress")-SUMIFS(Tasks!$I$3:$I1004, Tasks!$G$3:$G1004, $A41, Tasks!$B$3:$B1004, $A$29, Tasks!$K$3:$K1004, "Progress")</f>
        <v>0</v>
      </c>
      <c r="F41" s="14">
        <f t="shared" ref="F41:G41" si="60">H41+B41</f>
        <v>7</v>
      </c>
      <c r="G41" s="80">
        <f t="shared" si="60"/>
        <v>12</v>
      </c>
      <c r="H41" s="14">
        <f t="shared" ref="H41:I41" si="61">SUM(J41,L41,N41,P41,R41,T41,V41,X41,Z41,AB41,AD41,AF41,AH41,AJ41, AL41, AN41, AP41, AR41, AT41, AV41, AX41)</f>
        <v>7</v>
      </c>
      <c r="I41" s="81">
        <f t="shared" si="61"/>
        <v>12</v>
      </c>
      <c r="J41" s="14">
        <f>SUMIFS(Task_hours!$H$4:$H$997, Task_hours!$E$4:$E$997, J$30, Task_hours!$F$4:$F$997, $A41)</f>
        <v>0</v>
      </c>
      <c r="K41" s="14">
        <f>SUMIFS(Task_hours!$H$4:$H$997, Task_hours!$E$4:$E$997, J$30, Task_hours!$G$4:$G$997, $A41)</f>
        <v>0</v>
      </c>
      <c r="L41" s="14">
        <f>SUMIFS(Task_hours!$H$4:$H$997, Task_hours!$E$4:$E$997, L$30, Task_hours!$F$4:$F$997, $A41)</f>
        <v>0</v>
      </c>
      <c r="M41" s="14">
        <f>SUMIFS(Task_hours!$H$4:$H$997, Task_hours!$E$4:$E$997, L$30, Task_hours!$G$4:$G$997, $A41)</f>
        <v>0</v>
      </c>
      <c r="N41" s="14">
        <f>SUMIFS(Task_hours!$H$4:$H$997, Task_hours!$E$4:$E$997, N$30, Task_hours!$F$4:$F$997, $A41)</f>
        <v>0</v>
      </c>
      <c r="O41" s="14">
        <f>SUMIFS(Task_hours!$H$4:$H$997, Task_hours!$E$4:$E$997, N$30, Task_hours!$G$4:$G$997, $A41)</f>
        <v>0</v>
      </c>
      <c r="P41" s="14">
        <f>SUMIFS(Task_hours!$H$4:$H$997, Task_hours!$E$4:$E$997, P$30, Task_hours!$F$4:$F$997, $A41)</f>
        <v>0</v>
      </c>
      <c r="Q41" s="14">
        <f>SUMIFS(Task_hours!$H$4:$H$997, Task_hours!$E$4:$E$997, P$30, Task_hours!$G$4:$G$997, $A41)</f>
        <v>0</v>
      </c>
      <c r="R41" s="14">
        <f>SUMIFS(Task_hours!$H$4:$H$997, Task_hours!$E$4:$E$997, R$30, Task_hours!$F$4:$F$997, $A41)</f>
        <v>0</v>
      </c>
      <c r="S41" s="14">
        <f>SUMIFS(Task_hours!$H$4:$H$997, Task_hours!$E$4:$E$997, R$30, Task_hours!$G$4:$G$997, $A41)</f>
        <v>0</v>
      </c>
      <c r="T41" s="14">
        <f>SUMIFS(Task_hours!$H$4:$H$997, Task_hours!$E$4:$E$997, T$30, Task_hours!$F$4:$F$997, $A41)</f>
        <v>0</v>
      </c>
      <c r="U41" s="14">
        <f>SUMIFS(Task_hours!$H$4:$H$997, Task_hours!$E$4:$E$997, T$30, Task_hours!$G$4:$G$997, $A41)</f>
        <v>2</v>
      </c>
      <c r="V41" s="14">
        <f>SUMIFS(Task_hours!$H$4:$H$997, Task_hours!$E$4:$E$997, V$30, Task_hours!$F$4:$F$997, $A41)</f>
        <v>0</v>
      </c>
      <c r="W41" s="14">
        <f>SUMIFS(Task_hours!$H$4:$H$997, Task_hours!$E$4:$E$997, V$30, Task_hours!$G$4:$G$997, $A41)</f>
        <v>2</v>
      </c>
      <c r="X41" s="14">
        <f>SUMIFS(Task_hours!$H$4:$H$997, Task_hours!$E$4:$E$997, X$30, Task_hours!$F$4:$F$997, $A41)</f>
        <v>0</v>
      </c>
      <c r="Y41" s="14">
        <f>SUMIFS(Task_hours!$H$4:$H$997, Task_hours!$E$4:$E$997, X$30, Task_hours!$G$4:$G$997, $A41)</f>
        <v>0</v>
      </c>
      <c r="Z41" s="14">
        <f>SUMIFS(Task_hours!$H$4:$H$997, Task_hours!$E$4:$E$997, Z$30, Task_hours!$F$4:$F$997, $A41)</f>
        <v>0</v>
      </c>
      <c r="AA41" s="14">
        <f>SUMIFS(Task_hours!$H$4:$H$997, Task_hours!$E$4:$E$997, Z$30, Task_hours!$G$4:$G$997, $A41)</f>
        <v>3.5</v>
      </c>
      <c r="AB41" s="14">
        <f>SUMIFS(Task_hours!$H$4:$H$997, Task_hours!$E$4:$E$997, AB$30, Task_hours!$F$4:$F$997, $A41)</f>
        <v>3</v>
      </c>
      <c r="AC41" s="14">
        <f>SUMIFS(Task_hours!$H$4:$H$997, Task_hours!$E$4:$E$997, AB$30, Task_hours!$G$4:$G$997, $A41)</f>
        <v>2</v>
      </c>
      <c r="AD41" s="14">
        <f>SUMIFS(Task_hours!$H$4:$H$997, Task_hours!$E$4:$E$997, AD$30, Task_hours!$F$4:$F$997, $A41)</f>
        <v>0</v>
      </c>
      <c r="AE41" s="14">
        <f>SUMIFS(Task_hours!$H$4:$H$997, Task_hours!$E$4:$E$997, AD$30, Task_hours!$G$4:$G$997, $A41)</f>
        <v>0</v>
      </c>
      <c r="AF41" s="14">
        <f>SUMIFS(Task_hours!$H$4:$H$997, Task_hours!$E$4:$E$997, AF$30, Task_hours!$F$4:$F$997, $A41)</f>
        <v>0</v>
      </c>
      <c r="AG41" s="14">
        <f>SUMIFS(Task_hours!$H$4:$H$997, Task_hours!$E$4:$E$997, AF$30, Task_hours!$G$4:$G$997, $A41)</f>
        <v>0</v>
      </c>
      <c r="AH41" s="14">
        <f>SUMIFS(Task_hours!$H$4:$H$997, Task_hours!$E$4:$E$997, AH$30, Task_hours!$F$4:$F$997, $A41)</f>
        <v>0</v>
      </c>
      <c r="AI41" s="14">
        <f>SUMIFS(Task_hours!$H$4:$H$997, Task_hours!$E$4:$E$997, AH$30, Task_hours!$G$4:$G$997, $A41)</f>
        <v>0</v>
      </c>
      <c r="AJ41" s="14">
        <f>SUMIFS(Task_hours!$H$4:$H$997, Task_hours!$E$4:$E$997, AJ$30, Task_hours!$F$4:$F$997, $A41)</f>
        <v>0</v>
      </c>
      <c r="AK41" s="14">
        <f>SUMIFS(Task_hours!$H$4:$H$997, Task_hours!$E$4:$E$997, AJ$30, Task_hours!$G$4:$G$997, $A41)</f>
        <v>0</v>
      </c>
      <c r="AL41" s="14">
        <f>SUMIFS(Task_hours!$H$4:$H$997, Task_hours!$E$4:$E$997, AL$30, Task_hours!$F$4:$F$997, $A41)</f>
        <v>0</v>
      </c>
      <c r="AM41" s="14">
        <f>SUMIFS(Task_hours!$H$4:$H$997, Task_hours!$E$4:$E$997, AL$30, Task_hours!$G$4:$G$997, $A41)</f>
        <v>0</v>
      </c>
      <c r="AN41" s="14">
        <f>SUMIFS(Task_hours!$H$4:$H$997, Task_hours!$E$4:$E$997, AN$30, Task_hours!$F$4:$F$997, $A41)</f>
        <v>0</v>
      </c>
      <c r="AO41" s="14">
        <f>SUMIFS(Task_hours!$H$4:$H$997, Task_hours!$E$4:$E$997, AN$30, Task_hours!$G$4:$G$997, $A41)</f>
        <v>0</v>
      </c>
      <c r="AP41" s="14">
        <f>SUMIFS(Task_hours!$H$4:$H$997, Task_hours!$E$4:$E$997, AP$30, Task_hours!$F$4:$F$997, $A41)</f>
        <v>0</v>
      </c>
      <c r="AQ41" s="14">
        <f>SUMIFS(Task_hours!$H$4:$H$997, Task_hours!$E$4:$E$997, AP$30, Task_hours!$G$4:$G$997, $A41)</f>
        <v>0</v>
      </c>
      <c r="AR41" s="14">
        <f>SUMIFS(Task_hours!$H$4:$H$997, Task_hours!$E$4:$E$997, AR$30, Task_hours!$F$4:$F$997, $A41)</f>
        <v>0</v>
      </c>
      <c r="AS41" s="14">
        <f>SUMIFS(Task_hours!$H$4:$H$997, Task_hours!$E$4:$E$997, AR$30, Task_hours!$G$4:$G$997, $A41)</f>
        <v>0</v>
      </c>
      <c r="AT41" s="14">
        <f>SUMIFS(Task_hours!$H$4:$H$997, Task_hours!$E$4:$E$997, AT$30, Task_hours!$F$4:$F$997, $A41)</f>
        <v>0</v>
      </c>
      <c r="AU41" s="14">
        <f>SUMIFS(Task_hours!$H$4:$H$997, Task_hours!$E$4:$E$997, AT$30, Task_hours!$G$4:$G$997, $A41)</f>
        <v>0</v>
      </c>
      <c r="AV41" s="14">
        <f>SUMIFS(Task_hours!$H$4:$H$997, Task_hours!$E$4:$E$997, AV$30, Task_hours!$F$4:$F$997, $A41)</f>
        <v>0</v>
      </c>
      <c r="AW41" s="14">
        <f>SUMIFS(Task_hours!$H$4:$H$997, Task_hours!$E$4:$E$997, AV$30, Task_hours!$G$4:$G$997, $A41)</f>
        <v>0</v>
      </c>
      <c r="AX41" s="14">
        <f>SUMIFS(Task_hours!$H$4:$H$997, Task_hours!$E$4:$E$997, AX$30, Task_hours!$F$4:$F$997, $A41)</f>
        <v>4</v>
      </c>
      <c r="AY41" s="14">
        <f>SUMIFS(Task_hours!$H$4:$H$997, Task_hours!$E$4:$E$997, AX$30, Task_hours!$G$4:$G$997, $A41)</f>
        <v>2.5</v>
      </c>
    </row>
    <row r="42" spans="1:51">
      <c r="A42" s="82" t="s">
        <v>459</v>
      </c>
      <c r="B42" s="83">
        <f t="shared" ref="B42:AY42" si="62">SUM(B32:B41)</f>
        <v>0</v>
      </c>
      <c r="C42" s="84">
        <f t="shared" si="62"/>
        <v>0</v>
      </c>
      <c r="D42" s="83">
        <f t="shared" si="62"/>
        <v>0</v>
      </c>
      <c r="E42" s="84">
        <f t="shared" si="62"/>
        <v>0</v>
      </c>
      <c r="F42" s="83">
        <f t="shared" si="62"/>
        <v>139</v>
      </c>
      <c r="G42" s="84">
        <f t="shared" si="62"/>
        <v>109.5</v>
      </c>
      <c r="H42" s="83">
        <f t="shared" si="62"/>
        <v>139</v>
      </c>
      <c r="I42" s="83">
        <f t="shared" si="62"/>
        <v>109.5</v>
      </c>
      <c r="J42" s="83">
        <f t="shared" si="62"/>
        <v>0</v>
      </c>
      <c r="K42" s="83">
        <f t="shared" si="62"/>
        <v>0</v>
      </c>
      <c r="L42" s="83">
        <f t="shared" si="62"/>
        <v>0</v>
      </c>
      <c r="M42" s="83">
        <f t="shared" si="62"/>
        <v>0</v>
      </c>
      <c r="N42" s="83">
        <f t="shared" si="62"/>
        <v>0</v>
      </c>
      <c r="O42" s="83">
        <f t="shared" si="62"/>
        <v>0</v>
      </c>
      <c r="P42" s="83">
        <f t="shared" si="62"/>
        <v>0</v>
      </c>
      <c r="Q42" s="83">
        <f t="shared" si="62"/>
        <v>0</v>
      </c>
      <c r="R42" s="83">
        <f t="shared" si="62"/>
        <v>3</v>
      </c>
      <c r="S42" s="83">
        <f t="shared" si="62"/>
        <v>3</v>
      </c>
      <c r="T42" s="83">
        <f t="shared" si="62"/>
        <v>5</v>
      </c>
      <c r="U42" s="83">
        <f t="shared" si="62"/>
        <v>5</v>
      </c>
      <c r="V42" s="83">
        <f t="shared" si="62"/>
        <v>11</v>
      </c>
      <c r="W42" s="83">
        <f t="shared" si="62"/>
        <v>9.5</v>
      </c>
      <c r="X42" s="83">
        <f t="shared" si="62"/>
        <v>6</v>
      </c>
      <c r="Y42" s="83">
        <f t="shared" si="62"/>
        <v>6</v>
      </c>
      <c r="Z42" s="83">
        <f t="shared" si="62"/>
        <v>30</v>
      </c>
      <c r="AA42" s="83">
        <f t="shared" si="62"/>
        <v>28.5</v>
      </c>
      <c r="AB42" s="83">
        <f t="shared" si="62"/>
        <v>11</v>
      </c>
      <c r="AC42" s="83">
        <f t="shared" si="62"/>
        <v>9.5</v>
      </c>
      <c r="AD42" s="83">
        <f t="shared" si="62"/>
        <v>14.5</v>
      </c>
      <c r="AE42" s="83">
        <f t="shared" si="62"/>
        <v>10.5</v>
      </c>
      <c r="AF42" s="83">
        <f t="shared" si="62"/>
        <v>9.5</v>
      </c>
      <c r="AG42" s="83">
        <f t="shared" si="62"/>
        <v>9</v>
      </c>
      <c r="AH42" s="83">
        <f t="shared" si="62"/>
        <v>6.5</v>
      </c>
      <c r="AI42" s="83">
        <f t="shared" si="62"/>
        <v>1.5</v>
      </c>
      <c r="AJ42" s="83">
        <f t="shared" si="62"/>
        <v>6.5</v>
      </c>
      <c r="AK42" s="83">
        <f t="shared" si="62"/>
        <v>6.5</v>
      </c>
      <c r="AL42" s="83">
        <f t="shared" si="62"/>
        <v>6.5</v>
      </c>
      <c r="AM42" s="83">
        <f t="shared" si="62"/>
        <v>4.5</v>
      </c>
      <c r="AN42" s="83">
        <f t="shared" si="62"/>
        <v>0</v>
      </c>
      <c r="AO42" s="83">
        <f t="shared" si="62"/>
        <v>0</v>
      </c>
      <c r="AP42" s="83">
        <f t="shared" si="62"/>
        <v>3</v>
      </c>
      <c r="AQ42" s="83">
        <f t="shared" si="62"/>
        <v>3</v>
      </c>
      <c r="AR42" s="83">
        <f t="shared" si="62"/>
        <v>1.5</v>
      </c>
      <c r="AS42" s="83">
        <f t="shared" si="62"/>
        <v>1.5</v>
      </c>
      <c r="AT42" s="83">
        <f t="shared" si="62"/>
        <v>3</v>
      </c>
      <c r="AU42" s="83">
        <f t="shared" si="62"/>
        <v>0.5</v>
      </c>
      <c r="AV42" s="83">
        <f t="shared" si="62"/>
        <v>8.5</v>
      </c>
      <c r="AW42" s="83">
        <f t="shared" si="62"/>
        <v>2</v>
      </c>
      <c r="AX42" s="83">
        <f t="shared" si="62"/>
        <v>13.5</v>
      </c>
      <c r="AY42" s="83">
        <f t="shared" si="62"/>
        <v>9</v>
      </c>
    </row>
  </sheetData>
  <mergeCells count="84">
    <mergeCell ref="X29:AK29"/>
    <mergeCell ref="AL29:AY29"/>
    <mergeCell ref="B29:C29"/>
    <mergeCell ref="D29:E29"/>
    <mergeCell ref="F29:G29"/>
    <mergeCell ref="H29:I29"/>
    <mergeCell ref="J29:W29"/>
    <mergeCell ref="X15:AK15"/>
    <mergeCell ref="AL15:AY15"/>
    <mergeCell ref="AD16:AE16"/>
    <mergeCell ref="AF16:AG16"/>
    <mergeCell ref="AH16:AI16"/>
    <mergeCell ref="AJ16:AK16"/>
    <mergeCell ref="AL16:AY17"/>
    <mergeCell ref="Z16:AA16"/>
    <mergeCell ref="AB16:AC16"/>
    <mergeCell ref="L2:M2"/>
    <mergeCell ref="N2:O2"/>
    <mergeCell ref="B15:C15"/>
    <mergeCell ref="D15:E15"/>
    <mergeCell ref="F15:G15"/>
    <mergeCell ref="H15:I15"/>
    <mergeCell ref="J15:W15"/>
    <mergeCell ref="B2:C2"/>
    <mergeCell ref="D2:E2"/>
    <mergeCell ref="F2:G2"/>
    <mergeCell ref="H2:I2"/>
    <mergeCell ref="J2:K2"/>
    <mergeCell ref="P2:Q2"/>
    <mergeCell ref="R2:S2"/>
    <mergeCell ref="T2:U2"/>
    <mergeCell ref="V2:W2"/>
    <mergeCell ref="X2:Y2"/>
    <mergeCell ref="X1:AK1"/>
    <mergeCell ref="AL1:AY1"/>
    <mergeCell ref="AD2:AE2"/>
    <mergeCell ref="AF2:AG2"/>
    <mergeCell ref="AH2:AI2"/>
    <mergeCell ref="AJ2:AK2"/>
    <mergeCell ref="AL2:AY3"/>
    <mergeCell ref="Z2:AA2"/>
    <mergeCell ref="AB2:AC2"/>
    <mergeCell ref="B1:C1"/>
    <mergeCell ref="D1:E1"/>
    <mergeCell ref="F1:G1"/>
    <mergeCell ref="H1:I1"/>
    <mergeCell ref="J1:W1"/>
    <mergeCell ref="AT30:AU30"/>
    <mergeCell ref="AV30:AW30"/>
    <mergeCell ref="AX30:AY30"/>
    <mergeCell ref="AD30:AE30"/>
    <mergeCell ref="AF30:AG30"/>
    <mergeCell ref="AH30:AI30"/>
    <mergeCell ref="AJ30:AK30"/>
    <mergeCell ref="AL30:AM30"/>
    <mergeCell ref="AN30:AO30"/>
    <mergeCell ref="AP30:AQ30"/>
    <mergeCell ref="V30:W30"/>
    <mergeCell ref="X30:Y30"/>
    <mergeCell ref="Z30:AA30"/>
    <mergeCell ref="AB30:AC30"/>
    <mergeCell ref="AR30:AS30"/>
    <mergeCell ref="L30:M30"/>
    <mergeCell ref="N30:O30"/>
    <mergeCell ref="P30:Q30"/>
    <mergeCell ref="R30:S30"/>
    <mergeCell ref="T30:U30"/>
    <mergeCell ref="B30:C30"/>
    <mergeCell ref="D30:E30"/>
    <mergeCell ref="F30:G30"/>
    <mergeCell ref="H30:I30"/>
    <mergeCell ref="J30:K30"/>
    <mergeCell ref="B16:C16"/>
    <mergeCell ref="D16:E16"/>
    <mergeCell ref="F16:G16"/>
    <mergeCell ref="H16:I16"/>
    <mergeCell ref="J16:K16"/>
    <mergeCell ref="V16:W16"/>
    <mergeCell ref="X16:Y16"/>
    <mergeCell ref="L16:M16"/>
    <mergeCell ref="N16:O16"/>
    <mergeCell ref="P16:Q16"/>
    <mergeCell ref="R16:S16"/>
    <mergeCell ref="T16:U16"/>
  </mergeCells>
  <conditionalFormatting sqref="J4:AY13 J18:AY27 J32:AY41">
    <cfRule type="colorScale" priority="1">
      <colorScale>
        <cfvo type="min"/>
        <cfvo type="max"/>
        <color rgb="FFFFFFFF"/>
        <color rgb="FFEC6CA1"/>
      </colorScale>
    </cfRule>
  </conditionalFormatting>
  <printOptions horizontalCentered="1" verticalCentered="1" gridLines="1"/>
  <pageMargins left="0.25" right="0.25" top="0.75" bottom="0.75" header="0" footer="0"/>
  <pageSetup paperSize="9" fitToHeight="0" pageOrder="overThenDown" orientation="landscape" cellComments="atEnd"/>
  <tableParts count="3">
    <tablePart r:id="rId1"/>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E67C73"/>
    <outlinePr summaryBelow="0" summaryRight="0"/>
    <pageSetUpPr fitToPage="1"/>
  </sheetPr>
  <dimension ref="A1:M31"/>
  <sheetViews>
    <sheetView workbookViewId="0">
      <pane ySplit="1" topLeftCell="A2" activePane="bottomLeft" state="frozen"/>
      <selection pane="bottomLeft" activeCell="B3" sqref="B3"/>
    </sheetView>
  </sheetViews>
  <sheetFormatPr defaultColWidth="12.5546875" defaultRowHeight="15.75" customHeight="1"/>
  <sheetData>
    <row r="1" spans="1:13">
      <c r="A1" s="90" t="s">
        <v>0</v>
      </c>
      <c r="B1" s="90" t="s">
        <v>5</v>
      </c>
      <c r="C1" s="90">
        <v>1</v>
      </c>
      <c r="D1" s="90">
        <v>2</v>
      </c>
      <c r="E1" s="90">
        <v>3</v>
      </c>
      <c r="F1" s="90">
        <v>4</v>
      </c>
      <c r="H1" s="91" t="s">
        <v>459</v>
      </c>
      <c r="I1" s="92">
        <f t="shared" ref="I1:M1" si="0">SUM(B2:B1002)</f>
        <v>390.5</v>
      </c>
      <c r="J1" s="92">
        <f t="shared" si="0"/>
        <v>338</v>
      </c>
      <c r="K1" s="92">
        <f t="shared" si="0"/>
        <v>249.5</v>
      </c>
      <c r="L1" s="92">
        <f t="shared" si="0"/>
        <v>142.5</v>
      </c>
      <c r="M1" s="92">
        <f t="shared" si="0"/>
        <v>5</v>
      </c>
    </row>
    <row r="2" spans="1:13">
      <c r="A2" s="1" t="s">
        <v>200</v>
      </c>
      <c r="B2" s="1">
        <f>SUMIFS(Tasks!H:H, Tasks!C:C, A2)</f>
        <v>23</v>
      </c>
      <c r="C2" s="1">
        <f>B2-SUMIFS(Tasks!$I:$I, Tasks!$B:$B, C$1, Tasks!$C:$C, $A2)</f>
        <v>-12.5</v>
      </c>
      <c r="D2" s="1">
        <f>C2-SUMIFS(Tasks!$I:$I, Tasks!$B:$B, D$1, Tasks!$C:$C, $A2)</f>
        <v>-12.5</v>
      </c>
      <c r="E2" s="1">
        <f>D2-SUMIFS(Tasks!$I:$I, Tasks!$B:$B, E$1, Tasks!$C:$C, $A2)</f>
        <v>-12.5</v>
      </c>
      <c r="F2" s="1">
        <f>E2-SUMIFS(Tasks!$I:$I, Tasks!$B:$B, F$1, Tasks!$C:$C, $A2)</f>
        <v>-12.5</v>
      </c>
    </row>
    <row r="3" spans="1:13">
      <c r="A3" s="1" t="s">
        <v>83</v>
      </c>
      <c r="B3" s="1">
        <f>SUMIFS(Tasks!H:H, Tasks!C:C, A3)</f>
        <v>48.5</v>
      </c>
      <c r="C3" s="1">
        <f>B3-SUMIFS(Tasks!$I:$I, Tasks!$B:$B, C$1, Tasks!$C:$C, $A3)</f>
        <v>48.5</v>
      </c>
      <c r="D3" s="1">
        <f>C3-SUMIFS(Tasks!$I:$I, Tasks!$B:$B, D$1, Tasks!$C:$C, $A3)</f>
        <v>5.5</v>
      </c>
      <c r="E3" s="1">
        <f>D3-SUMIFS(Tasks!$I:$I, Tasks!$B:$B, E$1, Tasks!$C:$C, $A3)</f>
        <v>5.5</v>
      </c>
      <c r="F3" s="1">
        <f>E3-SUMIFS(Tasks!$I:$I, Tasks!$B:$B, F$1, Tasks!$C:$C, $A3)</f>
        <v>5.5</v>
      </c>
    </row>
    <row r="4" spans="1:13">
      <c r="A4" s="1" t="s">
        <v>257</v>
      </c>
      <c r="B4" s="1">
        <f>SUMIFS(Tasks!H:H, Tasks!C:C, A4)</f>
        <v>15</v>
      </c>
      <c r="C4" s="1">
        <f>B4-SUMIFS(Tasks!$I:$I, Tasks!$B:$B, C$1, Tasks!$C:$C, $A4)</f>
        <v>-2</v>
      </c>
      <c r="D4" s="1">
        <f>C4-SUMIFS(Tasks!$I:$I, Tasks!$B:$B, D$1, Tasks!$C:$C, $A4)</f>
        <v>-2</v>
      </c>
      <c r="E4" s="1">
        <f>D4-SUMIFS(Tasks!$I:$I, Tasks!$B:$B, E$1, Tasks!$C:$C, $A4)</f>
        <v>-2</v>
      </c>
      <c r="F4" s="1">
        <f>E4-SUMIFS(Tasks!$I:$I, Tasks!$B:$B, F$1, Tasks!$C:$C, $A4)</f>
        <v>-2</v>
      </c>
    </row>
    <row r="5" spans="1:13">
      <c r="A5" s="1" t="s">
        <v>307</v>
      </c>
      <c r="B5" s="1">
        <f>SUMIFS(Tasks!H:H, Tasks!C:C, A5)</f>
        <v>13</v>
      </c>
      <c r="C5" s="1">
        <f>B5-SUMIFS(Tasks!$I:$I, Tasks!$B:$B, C$1, Tasks!$C:$C, $A5)</f>
        <v>13</v>
      </c>
      <c r="D5" s="1">
        <f>C5-SUMIFS(Tasks!$I:$I, Tasks!$B:$B, D$1, Tasks!$C:$C, $A5)</f>
        <v>5</v>
      </c>
      <c r="E5" s="1">
        <f>D5-SUMIFS(Tasks!$I:$I, Tasks!$B:$B, E$1, Tasks!$C:$C, $A5)</f>
        <v>5</v>
      </c>
      <c r="F5" s="1">
        <f>E5-SUMIFS(Tasks!$I:$I, Tasks!$B:$B, F$1, Tasks!$C:$C, $A5)</f>
        <v>5</v>
      </c>
    </row>
    <row r="6" spans="1:13">
      <c r="A6" s="1" t="s">
        <v>467</v>
      </c>
      <c r="B6" s="1">
        <f>SUMIFS(Tasks!H:H, Tasks!C:C, A6)</f>
        <v>0</v>
      </c>
      <c r="C6" s="1">
        <f>B6-SUMIFS(Tasks!$I:$I, Tasks!$B:$B, C$1, Tasks!$C:$C, $A6)</f>
        <v>0</v>
      </c>
      <c r="D6" s="1">
        <f>C6-SUMIFS(Tasks!$I:$I, Tasks!$B:$B, D$1, Tasks!$C:$C, $A6)</f>
        <v>0</v>
      </c>
      <c r="E6" s="1">
        <f>D6-SUMIFS(Tasks!$I:$I, Tasks!$B:$B, E$1, Tasks!$C:$C, $A6)</f>
        <v>0</v>
      </c>
      <c r="F6" s="1">
        <f>E6-SUMIFS(Tasks!$I:$I, Tasks!$B:$B, F$1, Tasks!$C:$C, $A6)</f>
        <v>0</v>
      </c>
    </row>
    <row r="7" spans="1:13">
      <c r="A7" s="1" t="s">
        <v>311</v>
      </c>
      <c r="B7" s="1">
        <f>SUMIFS(Tasks!H:H, Tasks!C:C, A7)</f>
        <v>27</v>
      </c>
      <c r="C7" s="1">
        <f>B7-SUMIFS(Tasks!$I:$I, Tasks!$B:$B, C$1, Tasks!$C:$C, $A7)</f>
        <v>27</v>
      </c>
      <c r="D7" s="1">
        <f>C7-SUMIFS(Tasks!$I:$I, Tasks!$B:$B, D$1, Tasks!$C:$C, $A7)</f>
        <v>6</v>
      </c>
      <c r="E7" s="1">
        <f>D7-SUMIFS(Tasks!$I:$I, Tasks!$B:$B, E$1, Tasks!$C:$C, $A7)</f>
        <v>6</v>
      </c>
      <c r="F7" s="1">
        <f>E7-SUMIFS(Tasks!$I:$I, Tasks!$B:$B, F$1, Tasks!$C:$C, $A7)</f>
        <v>6</v>
      </c>
    </row>
    <row r="8" spans="1:13">
      <c r="A8" s="1" t="s">
        <v>468</v>
      </c>
      <c r="B8" s="1">
        <f>SUMIFS(Tasks!H:H, Tasks!C:C, A8)</f>
        <v>0</v>
      </c>
      <c r="C8" s="1">
        <f>B8-SUMIFS(Tasks!$I:$I, Tasks!$B:$B, C$1, Tasks!$C:$C, $A8)</f>
        <v>0</v>
      </c>
      <c r="D8" s="1">
        <f>C8-SUMIFS(Tasks!$I:$I, Tasks!$B:$B, D$1, Tasks!$C:$C, $A8)</f>
        <v>0</v>
      </c>
      <c r="E8" s="1">
        <f>D8-SUMIFS(Tasks!$I:$I, Tasks!$B:$B, E$1, Tasks!$C:$C, $A8)</f>
        <v>0</v>
      </c>
      <c r="F8" s="1">
        <f>E8-SUMIFS(Tasks!$I:$I, Tasks!$B:$B, F$1, Tasks!$C:$C, $A8)</f>
        <v>0</v>
      </c>
    </row>
    <row r="9" spans="1:13">
      <c r="A9" s="1" t="s">
        <v>403</v>
      </c>
      <c r="B9" s="1">
        <f>SUMIFS(Tasks!H:H, Tasks!C:C, A9)</f>
        <v>15</v>
      </c>
      <c r="C9" s="1">
        <f>B9-SUMIFS(Tasks!$I:$I, Tasks!$B:$B, C$1, Tasks!$C:$C, $A9)</f>
        <v>15</v>
      </c>
      <c r="D9" s="1">
        <f>C9-SUMIFS(Tasks!$I:$I, Tasks!$B:$B, D$1, Tasks!$C:$C, $A9)</f>
        <v>15</v>
      </c>
      <c r="E9" s="1">
        <f>D9-SUMIFS(Tasks!$I:$I, Tasks!$B:$B, E$1, Tasks!$C:$C, $A9)</f>
        <v>15</v>
      </c>
      <c r="F9" s="1">
        <f>E9-SUMIFS(Tasks!$I:$I, Tasks!$B:$B, F$1, Tasks!$C:$C, $A9)</f>
        <v>-1</v>
      </c>
    </row>
    <row r="10" spans="1:13">
      <c r="A10" s="1" t="s">
        <v>407</v>
      </c>
      <c r="B10" s="1">
        <f>SUMIFS(Tasks!H:H, Tasks!C:C, A10)</f>
        <v>17</v>
      </c>
      <c r="C10" s="1">
        <f>B10-SUMIFS(Tasks!$I:$I, Tasks!$B:$B, C$1, Tasks!$C:$C, $A10)</f>
        <v>17</v>
      </c>
      <c r="D10" s="1">
        <f>C10-SUMIFS(Tasks!$I:$I, Tasks!$B:$B, D$1, Tasks!$C:$C, $A10)</f>
        <v>17</v>
      </c>
      <c r="E10" s="1">
        <f>D10-SUMIFS(Tasks!$I:$I, Tasks!$B:$B, E$1, Tasks!$C:$C, $A10)</f>
        <v>17</v>
      </c>
      <c r="F10" s="1">
        <f>E10-SUMIFS(Tasks!$I:$I, Tasks!$B:$B, F$1, Tasks!$C:$C, $A10)</f>
        <v>-20</v>
      </c>
    </row>
    <row r="11" spans="1:13">
      <c r="A11" s="1" t="s">
        <v>336</v>
      </c>
      <c r="B11" s="1">
        <f>SUMIFS(Tasks!H:H, Tasks!C:C, A11)</f>
        <v>40</v>
      </c>
      <c r="C11" s="1">
        <f>B11-SUMIFS(Tasks!$I:$I, Tasks!$B:$B, C$1, Tasks!$C:$C, $A11)</f>
        <v>40</v>
      </c>
      <c r="D11" s="1">
        <f>C11-SUMIFS(Tasks!$I:$I, Tasks!$B:$B, D$1, Tasks!$C:$C, $A11)</f>
        <v>40</v>
      </c>
      <c r="E11" s="1">
        <f>D11-SUMIFS(Tasks!$I:$I, Tasks!$B:$B, E$1, Tasks!$C:$C, $A11)</f>
        <v>-3</v>
      </c>
      <c r="F11" s="1">
        <f>E11-SUMIFS(Tasks!$I:$I, Tasks!$B:$B, F$1, Tasks!$C:$C, $A11)</f>
        <v>-3</v>
      </c>
    </row>
    <row r="12" spans="1:13">
      <c r="A12" s="1" t="s">
        <v>386</v>
      </c>
      <c r="B12" s="1">
        <f>SUMIFS(Tasks!H:H, Tasks!C:C, A12)</f>
        <v>27</v>
      </c>
      <c r="C12" s="1">
        <f>B12-SUMIFS(Tasks!$I:$I, Tasks!$B:$B, C$1, Tasks!$C:$C, $A12)</f>
        <v>27</v>
      </c>
      <c r="D12" s="1">
        <f>C12-SUMIFS(Tasks!$I:$I, Tasks!$B:$B, D$1, Tasks!$C:$C, $A12)</f>
        <v>27</v>
      </c>
      <c r="E12" s="1">
        <f>D12-SUMIFS(Tasks!$I:$I, Tasks!$B:$B, E$1, Tasks!$C:$C, $A12)</f>
        <v>27</v>
      </c>
      <c r="F12" s="1">
        <f>E12-SUMIFS(Tasks!$I:$I, Tasks!$B:$B, F$1, Tasks!$C:$C, $A12)</f>
        <v>8.5</v>
      </c>
    </row>
    <row r="13" spans="1:13">
      <c r="A13" s="1" t="s">
        <v>469</v>
      </c>
      <c r="B13" s="1">
        <f>SUMIFS(Tasks!H:H, Tasks!C:C, A13)</f>
        <v>0</v>
      </c>
      <c r="C13" s="1">
        <f>B13-SUMIFS(Tasks!$I:$I, Tasks!$B:$B, C$1, Tasks!$C:$C, $A13)</f>
        <v>0</v>
      </c>
      <c r="D13" s="1">
        <f>C13-SUMIFS(Tasks!$I:$I, Tasks!$B:$B, D$1, Tasks!$C:$C, $A13)</f>
        <v>0</v>
      </c>
      <c r="E13" s="1">
        <f>D13-SUMIFS(Tasks!$I:$I, Tasks!$B:$B, E$1, Tasks!$C:$C, $A13)</f>
        <v>0</v>
      </c>
      <c r="F13" s="1">
        <f>E13-SUMIFS(Tasks!$I:$I, Tasks!$B:$B, F$1, Tasks!$C:$C, $A13)</f>
        <v>0</v>
      </c>
    </row>
    <row r="14" spans="1:13">
      <c r="A14" s="1" t="s">
        <v>470</v>
      </c>
      <c r="B14" s="1">
        <f>SUMIFS(Tasks!H:H, Tasks!C:C, A14)</f>
        <v>0</v>
      </c>
      <c r="C14" s="1">
        <f>B14-SUMIFS(Tasks!$I:$I, Tasks!$B:$B, C$1, Tasks!$C:$C, $A14)</f>
        <v>0</v>
      </c>
      <c r="D14" s="1">
        <f>C14-SUMIFS(Tasks!$I:$I, Tasks!$B:$B, D$1, Tasks!$C:$C, $A14)</f>
        <v>0</v>
      </c>
      <c r="E14" s="1">
        <f>D14-SUMIFS(Tasks!$I:$I, Tasks!$B:$B, E$1, Tasks!$C:$C, $A14)</f>
        <v>0</v>
      </c>
      <c r="F14" s="1">
        <f>E14-SUMIFS(Tasks!$I:$I, Tasks!$B:$B, F$1, Tasks!$C:$C, $A14)</f>
        <v>0</v>
      </c>
    </row>
    <row r="15" spans="1:13">
      <c r="A15" s="1" t="s">
        <v>399</v>
      </c>
      <c r="B15" s="1">
        <f>SUMIFS(Tasks!H:H, Tasks!C:C, A15)</f>
        <v>2.5</v>
      </c>
      <c r="C15" s="1">
        <f>B15-SUMIFS(Tasks!$I:$I, Tasks!$B:$B, C$1, Tasks!$C:$C, $A15)</f>
        <v>2.5</v>
      </c>
      <c r="D15" s="1">
        <f>C15-SUMIFS(Tasks!$I:$I, Tasks!$B:$B, D$1, Tasks!$C:$C, $A15)</f>
        <v>2.5</v>
      </c>
      <c r="E15" s="1">
        <f>D15-SUMIFS(Tasks!$I:$I, Tasks!$B:$B, E$1, Tasks!$C:$C, $A15)</f>
        <v>2.5</v>
      </c>
      <c r="F15" s="1">
        <f>E15-SUMIFS(Tasks!$I:$I, Tasks!$B:$B, F$1, Tasks!$C:$C, $A15)</f>
        <v>-0.5</v>
      </c>
    </row>
    <row r="16" spans="1:13">
      <c r="A16" s="1" t="s">
        <v>350</v>
      </c>
      <c r="B16" s="1">
        <f>SUMIFS(Tasks!H:H, Tasks!C:C, A16)</f>
        <v>10</v>
      </c>
      <c r="C16" s="1">
        <f>B16-SUMIFS(Tasks!$I:$I, Tasks!$B:$B, C$1, Tasks!$C:$C, $A16)</f>
        <v>10</v>
      </c>
      <c r="D16" s="1">
        <f>C16-SUMIFS(Tasks!$I:$I, Tasks!$B:$B, D$1, Tasks!$C:$C, $A16)</f>
        <v>10</v>
      </c>
      <c r="E16" s="1">
        <f>D16-SUMIFS(Tasks!$I:$I, Tasks!$B:$B, E$1, Tasks!$C:$C, $A16)</f>
        <v>1.5</v>
      </c>
      <c r="F16" s="1">
        <f>E16-SUMIFS(Tasks!$I:$I, Tasks!$B:$B, F$1, Tasks!$C:$C, $A16)</f>
        <v>1.5</v>
      </c>
    </row>
    <row r="17" spans="1:6">
      <c r="A17" s="1" t="s">
        <v>354</v>
      </c>
      <c r="B17" s="1">
        <f>SUMIFS(Tasks!H:H, Tasks!C:C, A17)</f>
        <v>12.5</v>
      </c>
      <c r="C17" s="1">
        <f>B17-SUMIFS(Tasks!$I:$I, Tasks!$B:$B, C$1, Tasks!$C:$C, $A17)</f>
        <v>12.5</v>
      </c>
      <c r="D17" s="1">
        <f>C17-SUMIFS(Tasks!$I:$I, Tasks!$B:$B, D$1, Tasks!$C:$C, $A17)</f>
        <v>12.5</v>
      </c>
      <c r="E17" s="1">
        <f>D17-SUMIFS(Tasks!$I:$I, Tasks!$B:$B, E$1, Tasks!$C:$C, $A17)</f>
        <v>5.5</v>
      </c>
      <c r="F17" s="1">
        <f>E17-SUMIFS(Tasks!$I:$I, Tasks!$B:$B, F$1, Tasks!$C:$C, $A17)</f>
        <v>5.5</v>
      </c>
    </row>
    <row r="18" spans="1:6">
      <c r="A18" s="1" t="s">
        <v>360</v>
      </c>
      <c r="B18" s="1">
        <f>SUMIFS(Tasks!H:H, Tasks!C:C, A18)</f>
        <v>29</v>
      </c>
      <c r="C18" s="1">
        <f>B18-SUMIFS(Tasks!$I:$I, Tasks!$B:$B, C$1, Tasks!$C:$C, $A18)</f>
        <v>29</v>
      </c>
      <c r="D18" s="1">
        <f>C18-SUMIFS(Tasks!$I:$I, Tasks!$B:$B, D$1, Tasks!$C:$C, $A18)</f>
        <v>29</v>
      </c>
      <c r="E18" s="1">
        <f>D18-SUMIFS(Tasks!$I:$I, Tasks!$B:$B, E$1, Tasks!$C:$C, $A18)</f>
        <v>6.5</v>
      </c>
      <c r="F18" s="1">
        <f>E18-SUMIFS(Tasks!$I:$I, Tasks!$B:$B, F$1, Tasks!$C:$C, $A18)</f>
        <v>6.5</v>
      </c>
    </row>
    <row r="19" spans="1:6">
      <c r="A19" s="1" t="s">
        <v>471</v>
      </c>
      <c r="B19" s="1">
        <f>SUMIFS(Tasks!H:H, Tasks!C:C, A19)</f>
        <v>0</v>
      </c>
      <c r="C19" s="1">
        <f>B19-SUMIFS(Tasks!$I:$I, Tasks!$B:$B, C$1, Tasks!$C:$C, $A19)</f>
        <v>0</v>
      </c>
      <c r="D19" s="1">
        <f>C19-SUMIFS(Tasks!$I:$I, Tasks!$B:$B, D$1, Tasks!$C:$C, $A19)</f>
        <v>0</v>
      </c>
      <c r="E19" s="1">
        <f>D19-SUMIFS(Tasks!$I:$I, Tasks!$B:$B, E$1, Tasks!$C:$C, $A19)</f>
        <v>0</v>
      </c>
      <c r="F19" s="1">
        <f>E19-SUMIFS(Tasks!$I:$I, Tasks!$B:$B, F$1, Tasks!$C:$C, $A19)</f>
        <v>0</v>
      </c>
    </row>
    <row r="20" spans="1:6">
      <c r="A20" s="1" t="s">
        <v>472</v>
      </c>
      <c r="B20" s="1">
        <f>SUMIFS(Tasks!H:H, Tasks!C:C, A20)</f>
        <v>0</v>
      </c>
      <c r="C20" s="1">
        <f>B20-SUMIFS(Tasks!$I:$I, Tasks!$B:$B, C$1, Tasks!$C:$C, $A20)</f>
        <v>0</v>
      </c>
      <c r="D20" s="1">
        <f>C20-SUMIFS(Tasks!$I:$I, Tasks!$B:$B, D$1, Tasks!$C:$C, $A20)</f>
        <v>0</v>
      </c>
      <c r="E20" s="1">
        <f>D20-SUMIFS(Tasks!$I:$I, Tasks!$B:$B, E$1, Tasks!$C:$C, $A20)</f>
        <v>0</v>
      </c>
      <c r="F20" s="1">
        <f>E20-SUMIFS(Tasks!$I:$I, Tasks!$B:$B, F$1, Tasks!$C:$C, $A20)</f>
        <v>0</v>
      </c>
    </row>
    <row r="21" spans="1:6">
      <c r="A21" s="1" t="s">
        <v>473</v>
      </c>
      <c r="B21" s="1">
        <f>SUMIFS(Tasks!H:H, Tasks!C:C, A21)</f>
        <v>0</v>
      </c>
      <c r="C21" s="1">
        <f>B21-SUMIFS(Tasks!$I:$I, Tasks!$B:$B, C$1, Tasks!$C:$C, $A21)</f>
        <v>0</v>
      </c>
      <c r="D21" s="1">
        <f>C21-SUMIFS(Tasks!$I:$I, Tasks!$B:$B, D$1, Tasks!$C:$C, $A21)</f>
        <v>0</v>
      </c>
      <c r="E21" s="1">
        <f>D21-SUMIFS(Tasks!$I:$I, Tasks!$B:$B, E$1, Tasks!$C:$C, $A21)</f>
        <v>0</v>
      </c>
      <c r="F21" s="1">
        <f>E21-SUMIFS(Tasks!$I:$I, Tasks!$B:$B, F$1, Tasks!$C:$C, $A21)</f>
        <v>0</v>
      </c>
    </row>
    <row r="22" spans="1:6">
      <c r="A22" s="1" t="s">
        <v>474</v>
      </c>
      <c r="B22" s="1">
        <f>SUMIFS(Tasks!H:H, Tasks!C:C, A22)</f>
        <v>0</v>
      </c>
      <c r="C22" s="1">
        <f>B22-SUMIFS(Tasks!$I:$I, Tasks!$B:$B, C$1, Tasks!$C:$C, $A22)</f>
        <v>0</v>
      </c>
      <c r="D22" s="1">
        <f>C22-SUMIFS(Tasks!$I:$I, Tasks!$B:$B, D$1, Tasks!$C:$C, $A22)</f>
        <v>0</v>
      </c>
      <c r="E22" s="1">
        <f>D22-SUMIFS(Tasks!$I:$I, Tasks!$B:$B, E$1, Tasks!$C:$C, $A22)</f>
        <v>0</v>
      </c>
      <c r="F22" s="1">
        <f>E22-SUMIFS(Tasks!$I:$I, Tasks!$B:$B, F$1, Tasks!$C:$C, $A22)</f>
        <v>0</v>
      </c>
    </row>
    <row r="23" spans="1:6">
      <c r="A23" s="1" t="s">
        <v>475</v>
      </c>
      <c r="B23" s="1">
        <f>SUMIFS(Tasks!H:H, Tasks!C:C, A23)</f>
        <v>0</v>
      </c>
      <c r="C23" s="1">
        <f>B23-SUMIFS(Tasks!$I:$I, Tasks!$B:$B, C$1, Tasks!$C:$C, $A23)</f>
        <v>0</v>
      </c>
      <c r="D23" s="1">
        <f>C23-SUMIFS(Tasks!$I:$I, Tasks!$B:$B, D$1, Tasks!$C:$C, $A23)</f>
        <v>0</v>
      </c>
      <c r="E23" s="1">
        <f>D23-SUMIFS(Tasks!$I:$I, Tasks!$B:$B, E$1, Tasks!$C:$C, $A23)</f>
        <v>0</v>
      </c>
      <c r="F23" s="1">
        <f>E23-SUMIFS(Tasks!$I:$I, Tasks!$B:$B, F$1, Tasks!$C:$C, $A23)</f>
        <v>0</v>
      </c>
    </row>
    <row r="24" spans="1:6">
      <c r="A24" s="1" t="s">
        <v>318</v>
      </c>
      <c r="B24" s="1">
        <f>SUMIFS(Tasks!H:H, Tasks!C:C, A24)</f>
        <v>5</v>
      </c>
      <c r="C24" s="1">
        <f>B24-SUMIFS(Tasks!$I:$I, Tasks!$B:$B, C$1, Tasks!$C:$C, $A24)</f>
        <v>5</v>
      </c>
      <c r="D24" s="1">
        <f>C24-SUMIFS(Tasks!$I:$I, Tasks!$B:$B, D$1, Tasks!$C:$C, $A24)</f>
        <v>1.5</v>
      </c>
      <c r="E24" s="1">
        <f>D24-SUMIFS(Tasks!$I:$I, Tasks!$B:$B, E$1, Tasks!$C:$C, $A24)</f>
        <v>1.5</v>
      </c>
      <c r="F24" s="1">
        <f>E24-SUMIFS(Tasks!$I:$I, Tasks!$B:$B, F$1, Tasks!$C:$C, $A24)</f>
        <v>1.5</v>
      </c>
    </row>
    <row r="25" spans="1:6">
      <c r="A25" s="1" t="s">
        <v>320</v>
      </c>
      <c r="B25" s="1">
        <f>SUMIFS(Tasks!H:H, Tasks!C:C, A25)</f>
        <v>5</v>
      </c>
      <c r="C25" s="1">
        <f>B25-SUMIFS(Tasks!$I:$I, Tasks!$B:$B, C$1, Tasks!$C:$C, $A25)</f>
        <v>5</v>
      </c>
      <c r="D25" s="1">
        <f>C25-SUMIFS(Tasks!$I:$I, Tasks!$B:$B, D$1, Tasks!$C:$C, $A25)</f>
        <v>1</v>
      </c>
      <c r="E25" s="1">
        <f>D25-SUMIFS(Tasks!$I:$I, Tasks!$B:$B, E$1, Tasks!$C:$C, $A25)</f>
        <v>1</v>
      </c>
      <c r="F25" s="1">
        <f>E25-SUMIFS(Tasks!$I:$I, Tasks!$B:$B, F$1, Tasks!$C:$C, $A25)</f>
        <v>1</v>
      </c>
    </row>
    <row r="26" spans="1:6">
      <c r="A26" s="1" t="s">
        <v>324</v>
      </c>
      <c r="B26" s="1">
        <f>SUMIFS(Tasks!H:H, Tasks!C:C, A26)</f>
        <v>2</v>
      </c>
      <c r="C26" s="1">
        <f>B26-SUMIFS(Tasks!$I:$I, Tasks!$B:$B, C$1, Tasks!$C:$C, $A26)</f>
        <v>2</v>
      </c>
      <c r="D26" s="1">
        <f>C26-SUMIFS(Tasks!$I:$I, Tasks!$B:$B, D$1, Tasks!$C:$C, $A26)</f>
        <v>0</v>
      </c>
      <c r="E26" s="1">
        <f>D26-SUMIFS(Tasks!$I:$I, Tasks!$B:$B, E$1, Tasks!$C:$C, $A26)</f>
        <v>0</v>
      </c>
      <c r="F26" s="1">
        <f>E26-SUMIFS(Tasks!$I:$I, Tasks!$B:$B, F$1, Tasks!$C:$C, $A26)</f>
        <v>0</v>
      </c>
    </row>
    <row r="27" spans="1:6">
      <c r="A27" s="1" t="s">
        <v>327</v>
      </c>
      <c r="B27" s="1">
        <f>SUMIFS(Tasks!H:H, Tasks!C:C, A27)</f>
        <v>0.5</v>
      </c>
      <c r="C27" s="1">
        <f>B27-SUMIFS(Tasks!$I:$I, Tasks!$B:$B, C$1, Tasks!$C:$C, $A27)</f>
        <v>0.5</v>
      </c>
      <c r="D27" s="1">
        <f>C27-SUMIFS(Tasks!$I:$I, Tasks!$B:$B, D$1, Tasks!$C:$C, $A27)</f>
        <v>0</v>
      </c>
      <c r="E27" s="1">
        <f>D27-SUMIFS(Tasks!$I:$I, Tasks!$B:$B, E$1, Tasks!$C:$C, $A27)</f>
        <v>0</v>
      </c>
      <c r="F27" s="1">
        <f>E27-SUMIFS(Tasks!$I:$I, Tasks!$B:$B, F$1, Tasks!$C:$C, $A27)</f>
        <v>0</v>
      </c>
    </row>
    <row r="28" spans="1:6">
      <c r="A28" s="1" t="s">
        <v>329</v>
      </c>
      <c r="B28" s="1">
        <f>SUMIFS(Tasks!H:H, Tasks!C:C, A28)</f>
        <v>3.5</v>
      </c>
      <c r="C28" s="1">
        <f>B28-SUMIFS(Tasks!$I:$I, Tasks!$B:$B, C$1, Tasks!$C:$C, $A28)</f>
        <v>3.5</v>
      </c>
      <c r="D28" s="1">
        <f>C28-SUMIFS(Tasks!$I:$I, Tasks!$B:$B, D$1, Tasks!$C:$C, $A28)</f>
        <v>0</v>
      </c>
      <c r="E28" s="1">
        <f>D28-SUMIFS(Tasks!$I:$I, Tasks!$B:$B, E$1, Tasks!$C:$C, $A28)</f>
        <v>0</v>
      </c>
      <c r="F28" s="1">
        <f>E28-SUMIFS(Tasks!$I:$I, Tasks!$B:$B, F$1, Tasks!$C:$C, $A28)</f>
        <v>0</v>
      </c>
    </row>
    <row r="29" spans="1:6">
      <c r="A29" s="1" t="s">
        <v>333</v>
      </c>
      <c r="B29" s="1">
        <f>SUMIFS(Tasks!H:H, Tasks!C:C, A29)</f>
        <v>2</v>
      </c>
      <c r="C29" s="1">
        <f>B29-SUMIFS(Tasks!$I:$I, Tasks!$B:$B, C$1, Tasks!$C:$C, $A29)</f>
        <v>2</v>
      </c>
      <c r="D29" s="1">
        <f>C29-SUMIFS(Tasks!$I:$I, Tasks!$B:$B, D$1, Tasks!$C:$C, $A29)</f>
        <v>-1</v>
      </c>
      <c r="E29" s="1">
        <f>D29-SUMIFS(Tasks!$I:$I, Tasks!$B:$B, E$1, Tasks!$C:$C, $A29)</f>
        <v>-1</v>
      </c>
      <c r="F29" s="1">
        <f>E29-SUMIFS(Tasks!$I:$I, Tasks!$B:$B, F$1, Tasks!$C:$C, $A29)</f>
        <v>-1</v>
      </c>
    </row>
    <row r="30" spans="1:6">
      <c r="A30" s="1" t="s">
        <v>370</v>
      </c>
      <c r="B30" s="1">
        <f>SUMIFS(Tasks!H:H, Tasks!C:C, A30)</f>
        <v>26</v>
      </c>
      <c r="C30" s="1">
        <f>B30-SUMIFS(Tasks!$I:$I, Tasks!$B:$B, C$1, Tasks!$C:$C, $A30)</f>
        <v>26</v>
      </c>
      <c r="D30" s="1">
        <f>C30-SUMIFS(Tasks!$I:$I, Tasks!$B:$B, D$1, Tasks!$C:$C, $A30)</f>
        <v>26</v>
      </c>
      <c r="E30" s="1">
        <f>D30-SUMIFS(Tasks!$I:$I, Tasks!$B:$B, E$1, Tasks!$C:$C, $A30)</f>
        <v>0</v>
      </c>
      <c r="F30" s="1">
        <f>E30-SUMIFS(Tasks!$I:$I, Tasks!$B:$B, F$1, Tasks!$C:$C, $A30)</f>
        <v>0</v>
      </c>
    </row>
    <row r="31" spans="1:6">
      <c r="A31" s="1" t="s">
        <v>411</v>
      </c>
      <c r="B31" s="1">
        <f>SUMIFS(Tasks!H:H, Tasks!C:C, A31)</f>
        <v>67</v>
      </c>
      <c r="C31" s="1">
        <f>B31-SUMIFS(Tasks!$I:$I, Tasks!$B:$B, C$1, Tasks!$C:$C, $A31)</f>
        <v>67</v>
      </c>
      <c r="D31" s="1">
        <f>C31-SUMIFS(Tasks!$I:$I, Tasks!$B:$B, D$1, Tasks!$C:$C, $A31)</f>
        <v>67</v>
      </c>
      <c r="E31" s="1">
        <f>D31-SUMIFS(Tasks!$I:$I, Tasks!$B:$B, E$1, Tasks!$C:$C, $A31)</f>
        <v>67</v>
      </c>
      <c r="F31" s="1">
        <f>E31-SUMIFS(Tasks!$I:$I, Tasks!$B:$B, F$1, Tasks!$C:$C, $A31)</f>
        <v>4</v>
      </c>
    </row>
  </sheetData>
  <printOptions horizontalCentered="1" verticalCentered="1" gridLines="1"/>
  <pageMargins left="0.7" right="0.7" top="0.75" bottom="0.75" header="0" footer="0"/>
  <pageSetup paperSize="9" fitToHeight="0" pageOrder="overThenDown" orientation="landscape" cellComments="atEnd"/>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E67C73"/>
    <outlinePr summaryBelow="0" summaryRight="0"/>
  </sheetPr>
  <dimension ref="A1:N43"/>
  <sheetViews>
    <sheetView showGridLines="0" workbookViewId="0"/>
  </sheetViews>
  <sheetFormatPr defaultColWidth="12.5546875" defaultRowHeight="15.75" customHeight="1"/>
  <cols>
    <col min="1" max="1" width="6.88671875" customWidth="1"/>
    <col min="2" max="2" width="71.44140625" customWidth="1"/>
    <col min="3" max="3" width="15.6640625" customWidth="1"/>
    <col min="4" max="4" width="12.44140625" customWidth="1"/>
    <col min="7" max="7" width="12.5546875" customWidth="1"/>
    <col min="8" max="8" width="3" customWidth="1"/>
    <col min="9" max="21" width="4.6640625" customWidth="1"/>
    <col min="22" max="22" width="4.88671875" customWidth="1"/>
  </cols>
  <sheetData>
    <row r="1" spans="1:14">
      <c r="A1" s="14"/>
      <c r="B1" s="14"/>
      <c r="C1" s="14" t="s">
        <v>476</v>
      </c>
      <c r="D1" s="14" t="s">
        <v>476</v>
      </c>
      <c r="G1" s="93" t="s">
        <v>7</v>
      </c>
      <c r="H1" s="94">
        <v>1</v>
      </c>
      <c r="I1" s="135" t="s">
        <v>12</v>
      </c>
      <c r="J1" s="136"/>
      <c r="K1" s="135" t="s">
        <v>200</v>
      </c>
      <c r="L1" s="129"/>
      <c r="M1" s="135" t="s">
        <v>257</v>
      </c>
      <c r="N1" s="127"/>
    </row>
    <row r="2" spans="1:14">
      <c r="A2" s="95" t="s">
        <v>200</v>
      </c>
      <c r="B2" s="14" t="s">
        <v>241</v>
      </c>
      <c r="C2" s="96">
        <v>0.25</v>
      </c>
      <c r="D2" s="96">
        <v>0.5</v>
      </c>
      <c r="G2" s="97" t="s">
        <v>477</v>
      </c>
      <c r="H2" s="98" t="s">
        <v>478</v>
      </c>
      <c r="I2" s="99" t="s">
        <v>479</v>
      </c>
      <c r="J2" s="100" t="s">
        <v>480</v>
      </c>
      <c r="K2" s="99" t="s">
        <v>479</v>
      </c>
      <c r="L2" s="99" t="s">
        <v>480</v>
      </c>
      <c r="M2" s="99" t="s">
        <v>479</v>
      </c>
      <c r="N2" s="101" t="s">
        <v>480</v>
      </c>
    </row>
    <row r="3" spans="1:14">
      <c r="A3" s="14"/>
      <c r="B3" s="14" t="s">
        <v>207</v>
      </c>
      <c r="C3" s="96">
        <v>0.5</v>
      </c>
      <c r="D3" s="96">
        <v>1</v>
      </c>
      <c r="G3" s="102">
        <v>44985</v>
      </c>
      <c r="H3" s="103">
        <v>0</v>
      </c>
      <c r="I3" s="104">
        <f>SUMIFS(Tasks!$H:$H, Tasks!$B:$B, $H$1)*(1-(1/13)*$H3)</f>
        <v>38</v>
      </c>
      <c r="J3" s="105">
        <v>52.5</v>
      </c>
      <c r="K3" s="104">
        <f>SUMIFS(Tasks!$H:$H, Tasks!$C:$C, K$1, Tasks!$B:$B, $H$1)*(1-(1/13)*$H3)</f>
        <v>23</v>
      </c>
      <c r="L3" s="105">
        <v>35.5</v>
      </c>
      <c r="M3" s="104">
        <f>SUMIFS(Tasks!$H:$H, Tasks!$C:$C, M$1, Tasks!$B:$B, $H$1)*(1-(1/13)*$H3)</f>
        <v>15</v>
      </c>
      <c r="N3" s="106">
        <v>17</v>
      </c>
    </row>
    <row r="4" spans="1:14">
      <c r="A4" s="14"/>
      <c r="B4" s="14" t="s">
        <v>213</v>
      </c>
      <c r="C4" s="96">
        <v>1</v>
      </c>
      <c r="D4" s="96">
        <v>0.5</v>
      </c>
      <c r="G4" s="102">
        <v>44986</v>
      </c>
      <c r="H4" s="103">
        <v>1</v>
      </c>
      <c r="I4" s="104">
        <f>SUMIFS(Tasks!$H:$H, Tasks!$B:$B, $H$1)*(1-(1/13)*$H4)</f>
        <v>35.07692307692308</v>
      </c>
      <c r="J4" s="105">
        <v>48</v>
      </c>
      <c r="K4" s="104">
        <f>SUMIFS(Tasks!$H:$H, Tasks!$C:$C, K$1, Tasks!$B:$B, $H$1)*(1-(1/13)*$H4)</f>
        <v>21.230769230769234</v>
      </c>
      <c r="L4" s="105">
        <v>31</v>
      </c>
      <c r="M4" s="104">
        <f>SUMIFS(Tasks!$H:$H, Tasks!$C:$C, M$1, Tasks!$B:$B, $H$1)*(1-(1/13)*$H4)</f>
        <v>13.846153846153847</v>
      </c>
      <c r="N4" s="106">
        <f>N3-SUMIFS(Task_hours!$H:$H, Task_hours!$E:$E, $G4, Task_hours!$C:$C, M$1, Task_hours!$B:$B, $H$1)</f>
        <v>17</v>
      </c>
    </row>
    <row r="5" spans="1:14">
      <c r="A5" s="14"/>
      <c r="B5" s="14" t="s">
        <v>247</v>
      </c>
      <c r="C5" s="96">
        <v>1</v>
      </c>
      <c r="D5" s="96">
        <v>0.5</v>
      </c>
      <c r="G5" s="102">
        <v>44987</v>
      </c>
      <c r="H5" s="103">
        <v>2</v>
      </c>
      <c r="I5" s="104">
        <f>SUMIFS(Tasks!$H:$H, Tasks!$B:$B, $H$1)*(1-(1/13)*$H5)</f>
        <v>32.153846153846153</v>
      </c>
      <c r="J5" s="105">
        <v>35</v>
      </c>
      <c r="K5" s="104">
        <f>SUMIFS(Tasks!$H:$H, Tasks!$C:$C, K$1, Tasks!$B:$B, $H$1)*(1-(1/13)*$H5)</f>
        <v>19.46153846153846</v>
      </c>
      <c r="L5" s="105">
        <v>21</v>
      </c>
      <c r="M5" s="104">
        <f>SUMIFS(Tasks!$H:$H, Tasks!$C:$C, M$1, Tasks!$B:$B, $H$1)*(1-(1/13)*$H5)</f>
        <v>12.692307692307692</v>
      </c>
      <c r="N5" s="106">
        <v>14</v>
      </c>
    </row>
    <row r="6" spans="1:14">
      <c r="A6" s="14"/>
      <c r="B6" s="14" t="s">
        <v>243</v>
      </c>
      <c r="C6" s="96">
        <v>1</v>
      </c>
      <c r="D6" s="96">
        <v>2</v>
      </c>
      <c r="G6" s="102">
        <v>44988</v>
      </c>
      <c r="H6" s="103">
        <v>3</v>
      </c>
      <c r="I6" s="104">
        <f>SUMIFS(Tasks!$H:$H, Tasks!$B:$B, $H$1)*(1-(1/13)*$H6)</f>
        <v>29.230769230769226</v>
      </c>
      <c r="J6" s="105">
        <v>27</v>
      </c>
      <c r="K6" s="104">
        <f>SUMIFS(Tasks!$H:$H, Tasks!$C:$C, K$1, Tasks!$B:$B, $H$1)*(1-(1/13)*$H6)</f>
        <v>17.69230769230769</v>
      </c>
      <c r="L6" s="105">
        <v>13</v>
      </c>
      <c r="M6" s="104">
        <f>SUMIFS(Tasks!$H:$H, Tasks!$C:$C, M$1, Tasks!$B:$B, $H$1)*(1-(1/13)*$H6)</f>
        <v>11.538461538461537</v>
      </c>
      <c r="N6" s="106">
        <v>14</v>
      </c>
    </row>
    <row r="7" spans="1:14">
      <c r="A7" s="14"/>
      <c r="B7" s="14" t="s">
        <v>245</v>
      </c>
      <c r="C7" s="96">
        <v>1</v>
      </c>
      <c r="D7" s="96">
        <v>2</v>
      </c>
      <c r="G7" s="102">
        <v>44989</v>
      </c>
      <c r="H7" s="103">
        <v>4</v>
      </c>
      <c r="I7" s="104">
        <f>SUMIFS(Tasks!$H:$H, Tasks!$B:$B, $H$1)*(1-(1/13)*$H7)</f>
        <v>26.307692307692307</v>
      </c>
      <c r="J7" s="105">
        <v>23</v>
      </c>
      <c r="K7" s="104">
        <f>SUMIFS(Tasks!$H:$H, Tasks!$C:$C, K$1, Tasks!$B:$B, $H$1)*(1-(1/13)*$H7)</f>
        <v>15.923076923076923</v>
      </c>
      <c r="L7" s="105">
        <v>9</v>
      </c>
      <c r="M7" s="104">
        <f>SUMIFS(Tasks!$H:$H, Tasks!$C:$C, M$1, Tasks!$B:$B, $H$1)*(1-(1/13)*$H7)</f>
        <v>10.384615384615385</v>
      </c>
      <c r="N7" s="106">
        <v>14</v>
      </c>
    </row>
    <row r="8" spans="1:14">
      <c r="A8" s="14"/>
      <c r="B8" s="14" t="s">
        <v>209</v>
      </c>
      <c r="C8" s="96">
        <v>1</v>
      </c>
      <c r="D8" s="96">
        <v>2</v>
      </c>
      <c r="G8" s="102">
        <v>44990</v>
      </c>
      <c r="H8" s="103">
        <v>5</v>
      </c>
      <c r="I8" s="104">
        <f>SUMIFS(Tasks!$H:$H, Tasks!$B:$B, $H$1)*(1-(1/13)*$H8)</f>
        <v>23.384615384615387</v>
      </c>
      <c r="J8" s="105">
        <v>20</v>
      </c>
      <c r="K8" s="104">
        <f>SUMIFS(Tasks!$H:$H, Tasks!$C:$C, K$1, Tasks!$B:$B, $H$1)*(1-(1/13)*$H8)</f>
        <v>14.153846153846155</v>
      </c>
      <c r="L8" s="105">
        <v>6</v>
      </c>
      <c r="M8" s="104">
        <f>SUMIFS(Tasks!$H:$H, Tasks!$C:$C, M$1, Tasks!$B:$B, $H$1)*(1-(1/13)*$H8)</f>
        <v>9.2307692307692317</v>
      </c>
      <c r="N8" s="106">
        <v>14</v>
      </c>
    </row>
    <row r="9" spans="1:14">
      <c r="A9" s="14"/>
      <c r="B9" s="14" t="s">
        <v>231</v>
      </c>
      <c r="C9" s="96">
        <v>1</v>
      </c>
      <c r="D9" s="96">
        <v>1</v>
      </c>
      <c r="G9" s="102">
        <v>44991</v>
      </c>
      <c r="H9" s="103">
        <v>6</v>
      </c>
      <c r="I9" s="104">
        <f>SUMIFS(Tasks!$H:$H, Tasks!$B:$B, $H$1)*(1-(1/13)*$H9)</f>
        <v>20.46153846153846</v>
      </c>
      <c r="J9" s="105">
        <v>16</v>
      </c>
      <c r="K9" s="104">
        <f>SUMIFS(Tasks!$H:$H, Tasks!$C:$C, K$1, Tasks!$B:$B, $H$1)*(1-(1/13)*$H9)</f>
        <v>12.384615384615383</v>
      </c>
      <c r="L9" s="105">
        <v>6</v>
      </c>
      <c r="M9" s="104">
        <f>SUMIFS(Tasks!$H:$H, Tasks!$C:$C, M$1, Tasks!$B:$B, $H$1)*(1-(1/13)*$H9)</f>
        <v>8.0769230769230766</v>
      </c>
      <c r="N9" s="106">
        <v>10</v>
      </c>
    </row>
    <row r="10" spans="1:14">
      <c r="A10" s="14"/>
      <c r="B10" s="14" t="s">
        <v>233</v>
      </c>
      <c r="C10" s="96">
        <v>1</v>
      </c>
      <c r="D10" s="96">
        <v>1</v>
      </c>
      <c r="G10" s="102">
        <v>44992</v>
      </c>
      <c r="H10" s="103">
        <v>7</v>
      </c>
      <c r="I10" s="104">
        <f>SUMIFS(Tasks!$H:$H, Tasks!$B:$B, $H$1)*(1-(1/13)*$H10)</f>
        <v>17.538461538461537</v>
      </c>
      <c r="J10" s="105">
        <v>16</v>
      </c>
      <c r="K10" s="104">
        <f>SUMIFS(Tasks!$H:$H, Tasks!$C:$C, K$1, Tasks!$B:$B, $H$1)*(1-(1/13)*$H10)</f>
        <v>10.615384615384613</v>
      </c>
      <c r="L10" s="105">
        <v>6</v>
      </c>
      <c r="M10" s="104">
        <f>SUMIFS(Tasks!$H:$H, Tasks!$C:$C, M$1, Tasks!$B:$B, $H$1)*(1-(1/13)*$H10)</f>
        <v>6.9230769230769216</v>
      </c>
      <c r="N10" s="106">
        <v>10</v>
      </c>
    </row>
    <row r="11" spans="1:14">
      <c r="A11" s="14"/>
      <c r="B11" s="14" t="s">
        <v>211</v>
      </c>
      <c r="C11" s="96">
        <v>1</v>
      </c>
      <c r="D11" s="96">
        <v>1</v>
      </c>
      <c r="G11" s="102">
        <v>44993</v>
      </c>
      <c r="H11" s="103">
        <v>8</v>
      </c>
      <c r="I11" s="104">
        <f>SUMIFS(Tasks!$H:$H, Tasks!$B:$B, $H$1)*(1-(1/13)*$H11)</f>
        <v>14.615384615384613</v>
      </c>
      <c r="J11" s="105">
        <v>14</v>
      </c>
      <c r="K11" s="104">
        <f>SUMIFS(Tasks!$H:$H, Tasks!$C:$C, K$1, Tasks!$B:$B, $H$1)*(1-(1/13)*$H11)</f>
        <v>8.8461538461538449</v>
      </c>
      <c r="L11" s="105">
        <v>6</v>
      </c>
      <c r="M11" s="104">
        <f>SUMIFS(Tasks!$H:$H, Tasks!$C:$C, M$1, Tasks!$B:$B, $H$1)*(1-(1/13)*$H11)</f>
        <v>5.7692307692307683</v>
      </c>
      <c r="N11" s="106">
        <v>8</v>
      </c>
    </row>
    <row r="12" spans="1:14">
      <c r="A12" s="14"/>
      <c r="B12" s="14" t="s">
        <v>223</v>
      </c>
      <c r="C12" s="96">
        <v>0.5</v>
      </c>
      <c r="D12" s="96">
        <v>1</v>
      </c>
      <c r="G12" s="102">
        <v>44994</v>
      </c>
      <c r="H12" s="103">
        <v>9</v>
      </c>
      <c r="I12" s="104">
        <f>SUMIFS(Tasks!$H:$H, Tasks!$B:$B, $H$1)*(1-(1/13)*$H12)</f>
        <v>11.692307692307693</v>
      </c>
      <c r="J12" s="105">
        <v>12</v>
      </c>
      <c r="K12" s="104">
        <f>SUMIFS(Tasks!$H:$H, Tasks!$C:$C, K$1, Tasks!$B:$B, $H$1)*(1-(1/13)*$H12)</f>
        <v>7.0769230769230775</v>
      </c>
      <c r="L12" s="105">
        <v>4</v>
      </c>
      <c r="M12" s="104">
        <f>SUMIFS(Tasks!$H:$H, Tasks!$C:$C, M$1, Tasks!$B:$B, $H$1)*(1-(1/13)*$H12)</f>
        <v>4.6153846153846159</v>
      </c>
      <c r="N12" s="106">
        <v>8</v>
      </c>
    </row>
    <row r="13" spans="1:14">
      <c r="A13" s="14"/>
      <c r="B13" s="14" t="s">
        <v>221</v>
      </c>
      <c r="C13" s="96">
        <v>0.5</v>
      </c>
      <c r="D13" s="96">
        <v>0.5</v>
      </c>
      <c r="G13" s="102">
        <v>44995</v>
      </c>
      <c r="H13" s="103">
        <v>10</v>
      </c>
      <c r="I13" s="104">
        <f>SUMIFS(Tasks!$H:$H, Tasks!$B:$B, $H$1)*(1-(1/13)*$H13)</f>
        <v>8.7692307692307683</v>
      </c>
      <c r="J13" s="105">
        <v>7</v>
      </c>
      <c r="K13" s="104">
        <f>SUMIFS(Tasks!$H:$H, Tasks!$C:$C, K$1, Tasks!$B:$B, $H$1)*(1-(1/13)*$H13)</f>
        <v>5.3076923076923066</v>
      </c>
      <c r="L13" s="105">
        <v>1</v>
      </c>
      <c r="M13" s="104">
        <f>SUMIFS(Tasks!$H:$H, Tasks!$C:$C, M$1, Tasks!$B:$B, $H$1)*(1-(1/13)*$H13)</f>
        <v>3.4615384615384608</v>
      </c>
      <c r="N13" s="106">
        <v>6</v>
      </c>
    </row>
    <row r="14" spans="1:14">
      <c r="A14" s="14"/>
      <c r="B14" s="14" t="s">
        <v>255</v>
      </c>
      <c r="C14" s="96">
        <v>0.25</v>
      </c>
      <c r="D14" s="96">
        <v>1</v>
      </c>
      <c r="G14" s="102">
        <v>44996</v>
      </c>
      <c r="H14" s="103">
        <v>11</v>
      </c>
      <c r="I14" s="104">
        <f>SUMIFS(Tasks!$H:$H, Tasks!$B:$B, $H$1)*(1-(1/13)*$H14)</f>
        <v>5.8461538461538423</v>
      </c>
      <c r="J14" s="105">
        <v>5</v>
      </c>
      <c r="K14" s="104">
        <f>SUMIFS(Tasks!$H:$H, Tasks!$C:$C, K$1, Tasks!$B:$B, $H$1)*(1-(1/13)*$H14)</f>
        <v>3.5384615384615361</v>
      </c>
      <c r="L14" s="105">
        <v>1</v>
      </c>
      <c r="M14" s="104">
        <f>SUMIFS(Tasks!$H:$H, Tasks!$C:$C, M$1, Tasks!$B:$B, $H$1)*(1-(1/13)*$H14)</f>
        <v>2.3076923076923062</v>
      </c>
      <c r="N14" s="106">
        <v>4</v>
      </c>
    </row>
    <row r="15" spans="1:14">
      <c r="A15" s="14"/>
      <c r="B15" s="14" t="s">
        <v>235</v>
      </c>
      <c r="C15" s="96">
        <v>1</v>
      </c>
      <c r="D15" s="96">
        <v>1.5</v>
      </c>
      <c r="G15" s="102">
        <v>44997</v>
      </c>
      <c r="H15" s="103">
        <v>12</v>
      </c>
      <c r="I15" s="104">
        <f>SUMIFS(Tasks!$H:$H, Tasks!$B:$B, $H$1)*(1-(1/13)*$H15)</f>
        <v>2.9230769230769211</v>
      </c>
      <c r="J15" s="105">
        <v>1</v>
      </c>
      <c r="K15" s="104">
        <f>SUMIFS(Tasks!$H:$H, Tasks!$C:$C, K$1, Tasks!$B:$B, $H$1)*(1-(1/13)*$H15)</f>
        <v>1.7692307692307681</v>
      </c>
      <c r="L15" s="105">
        <v>0</v>
      </c>
      <c r="M15" s="104">
        <f>SUMIFS(Tasks!$H:$H, Tasks!$C:$C, M$1, Tasks!$B:$B, $H$1)*(1-(1/13)*$H15)</f>
        <v>1.1538461538461531</v>
      </c>
      <c r="N15" s="106">
        <v>1</v>
      </c>
    </row>
    <row r="16" spans="1:14">
      <c r="A16" s="14"/>
      <c r="B16" s="14" t="s">
        <v>249</v>
      </c>
      <c r="C16" s="96">
        <v>1.5</v>
      </c>
      <c r="D16" s="96">
        <v>1</v>
      </c>
      <c r="G16" s="107">
        <v>44998</v>
      </c>
      <c r="H16" s="108">
        <v>13</v>
      </c>
      <c r="I16" s="109">
        <f>SUMIFS(Tasks!$H:$H, Tasks!$B:$B, $H$1)*(1-(1/13)*$H16)</f>
        <v>0</v>
      </c>
      <c r="J16" s="110">
        <v>0</v>
      </c>
      <c r="K16" s="109">
        <f>SUMIFS(Tasks!$H:$H, Tasks!$C:$C, K$1, Tasks!$B:$B, $H$1)*(1-(1/13)*$H16)</f>
        <v>0</v>
      </c>
      <c r="L16" s="110">
        <v>0</v>
      </c>
      <c r="M16" s="109">
        <f>SUMIFS(Tasks!$H:$H, Tasks!$C:$C, M$1, Tasks!$B:$B, $H$1)*(1-(1/13)*$H16)</f>
        <v>0</v>
      </c>
      <c r="N16" s="111">
        <v>0</v>
      </c>
    </row>
    <row r="17" spans="1:8">
      <c r="A17" s="14"/>
      <c r="B17" s="14" t="s">
        <v>239</v>
      </c>
      <c r="C17" s="96">
        <v>1</v>
      </c>
      <c r="D17" s="96">
        <v>1</v>
      </c>
    </row>
    <row r="18" spans="1:8">
      <c r="A18" s="14"/>
      <c r="B18" s="14" t="s">
        <v>225</v>
      </c>
      <c r="C18" s="96">
        <v>1</v>
      </c>
      <c r="D18" s="96">
        <v>1.5</v>
      </c>
      <c r="H18" s="112"/>
    </row>
    <row r="19" spans="1:8">
      <c r="A19" s="14"/>
      <c r="B19" s="14" t="s">
        <v>237</v>
      </c>
      <c r="C19" s="96">
        <v>0.5</v>
      </c>
      <c r="D19" s="96">
        <v>1</v>
      </c>
      <c r="H19" s="112"/>
    </row>
    <row r="20" spans="1:8">
      <c r="A20" s="14"/>
      <c r="B20" s="14" t="s">
        <v>251</v>
      </c>
      <c r="C20" s="96">
        <v>1.5</v>
      </c>
      <c r="D20" s="96">
        <v>2.5</v>
      </c>
      <c r="H20" s="112"/>
    </row>
    <row r="21" spans="1:8">
      <c r="A21" s="14"/>
      <c r="B21" s="14" t="s">
        <v>219</v>
      </c>
      <c r="C21" s="96">
        <v>0.5</v>
      </c>
      <c r="D21" s="96">
        <v>0.5</v>
      </c>
      <c r="H21" s="112"/>
    </row>
    <row r="22" spans="1:8">
      <c r="A22" s="14"/>
      <c r="B22" s="14" t="s">
        <v>205</v>
      </c>
      <c r="C22" s="96">
        <v>0.25</v>
      </c>
      <c r="D22" s="96">
        <v>0.5</v>
      </c>
      <c r="H22" s="112"/>
    </row>
    <row r="23" spans="1:8">
      <c r="A23" s="14"/>
      <c r="B23" s="14" t="s">
        <v>203</v>
      </c>
      <c r="C23" s="96">
        <v>0.25</v>
      </c>
      <c r="D23" s="96">
        <v>1</v>
      </c>
      <c r="H23" s="112"/>
    </row>
    <row r="24" spans="1:8">
      <c r="A24" s="14"/>
      <c r="B24" s="14" t="s">
        <v>227</v>
      </c>
      <c r="C24" s="96">
        <v>1.5</v>
      </c>
      <c r="D24" s="96">
        <v>4</v>
      </c>
      <c r="H24" s="112"/>
    </row>
    <row r="25" spans="1:8">
      <c r="A25" s="14"/>
      <c r="B25" s="14" t="s">
        <v>201</v>
      </c>
      <c r="C25" s="96">
        <v>0.5</v>
      </c>
      <c r="D25" s="96">
        <v>1</v>
      </c>
    </row>
    <row r="26" spans="1:8">
      <c r="A26" s="14"/>
      <c r="B26" s="14" t="s">
        <v>229</v>
      </c>
      <c r="C26" s="96">
        <v>1</v>
      </c>
      <c r="D26" s="96">
        <v>2.5</v>
      </c>
    </row>
    <row r="27" spans="1:8">
      <c r="A27" s="14"/>
      <c r="B27" s="14" t="s">
        <v>253</v>
      </c>
      <c r="C27" s="96">
        <v>0.5</v>
      </c>
      <c r="D27" s="96">
        <v>0.5</v>
      </c>
    </row>
    <row r="28" spans="1:8">
      <c r="A28" s="14"/>
      <c r="B28" s="14" t="s">
        <v>215</v>
      </c>
      <c r="C28" s="96">
        <v>1</v>
      </c>
      <c r="D28" s="96">
        <v>2</v>
      </c>
    </row>
    <row r="29" spans="1:8">
      <c r="A29" s="14"/>
      <c r="B29" s="14" t="s">
        <v>217</v>
      </c>
      <c r="C29" s="96">
        <v>1</v>
      </c>
      <c r="D29" s="96">
        <v>1</v>
      </c>
    </row>
    <row r="30" spans="1:8">
      <c r="A30" s="14" t="s">
        <v>481</v>
      </c>
      <c r="B30" s="14"/>
      <c r="C30" s="96">
        <v>23</v>
      </c>
      <c r="D30" s="96">
        <v>35.5</v>
      </c>
    </row>
    <row r="31" spans="1:8">
      <c r="A31" s="95" t="s">
        <v>257</v>
      </c>
      <c r="B31" s="14" t="s">
        <v>265</v>
      </c>
      <c r="C31" s="96">
        <v>2</v>
      </c>
      <c r="D31" s="96">
        <v>3</v>
      </c>
    </row>
    <row r="32" spans="1:8">
      <c r="A32" s="14"/>
      <c r="B32" s="14" t="s">
        <v>267</v>
      </c>
      <c r="C32" s="96">
        <v>2.5</v>
      </c>
      <c r="D32" s="96">
        <v>3</v>
      </c>
    </row>
    <row r="33" spans="1:4">
      <c r="A33" s="14"/>
      <c r="B33" s="14" t="s">
        <v>277</v>
      </c>
      <c r="C33" s="96">
        <v>1</v>
      </c>
      <c r="D33" s="96">
        <v>0.5</v>
      </c>
    </row>
    <row r="34" spans="1:4">
      <c r="A34" s="14"/>
      <c r="B34" s="14" t="s">
        <v>271</v>
      </c>
      <c r="C34" s="96">
        <v>2</v>
      </c>
      <c r="D34" s="96">
        <v>2.5</v>
      </c>
    </row>
    <row r="35" spans="1:4">
      <c r="A35" s="14"/>
      <c r="B35" s="14" t="s">
        <v>258</v>
      </c>
      <c r="C35" s="96">
        <v>1.5</v>
      </c>
      <c r="D35" s="96">
        <v>2.5</v>
      </c>
    </row>
    <row r="36" spans="1:4">
      <c r="A36" s="14"/>
      <c r="B36" s="14" t="s">
        <v>223</v>
      </c>
      <c r="C36" s="96">
        <v>0.5</v>
      </c>
      <c r="D36" s="96">
        <v>0.5</v>
      </c>
    </row>
    <row r="37" spans="1:4">
      <c r="A37" s="14"/>
      <c r="B37" s="14" t="s">
        <v>275</v>
      </c>
      <c r="C37" s="96">
        <v>1</v>
      </c>
      <c r="D37" s="96">
        <v>1</v>
      </c>
    </row>
    <row r="38" spans="1:4">
      <c r="A38" s="14"/>
      <c r="B38" s="14" t="s">
        <v>269</v>
      </c>
      <c r="C38" s="96">
        <v>1.5</v>
      </c>
      <c r="D38" s="96">
        <v>1</v>
      </c>
    </row>
    <row r="39" spans="1:4">
      <c r="A39" s="14"/>
      <c r="B39" s="14" t="s">
        <v>273</v>
      </c>
      <c r="C39" s="96">
        <v>1.5</v>
      </c>
      <c r="D39" s="96">
        <v>2</v>
      </c>
    </row>
    <row r="40" spans="1:4">
      <c r="A40" s="14"/>
      <c r="B40" s="14" t="s">
        <v>263</v>
      </c>
      <c r="C40" s="96">
        <v>1</v>
      </c>
      <c r="D40" s="96">
        <v>0.5</v>
      </c>
    </row>
    <row r="41" spans="1:4">
      <c r="A41" s="14"/>
      <c r="B41" s="14" t="s">
        <v>261</v>
      </c>
      <c r="C41" s="96">
        <v>0.5</v>
      </c>
      <c r="D41" s="96">
        <v>0.5</v>
      </c>
    </row>
    <row r="42" spans="1:4">
      <c r="A42" s="14" t="s">
        <v>482</v>
      </c>
      <c r="B42" s="14"/>
      <c r="C42" s="96">
        <v>15</v>
      </c>
      <c r="D42" s="96">
        <v>17</v>
      </c>
    </row>
    <row r="43" spans="1:4">
      <c r="A43" s="14" t="s">
        <v>483</v>
      </c>
      <c r="B43" s="14"/>
      <c r="C43" s="96">
        <v>38</v>
      </c>
      <c r="D43" s="96">
        <v>52.5</v>
      </c>
    </row>
  </sheetData>
  <mergeCells count="3">
    <mergeCell ref="I1:J1"/>
    <mergeCell ref="K1:L1"/>
    <mergeCell ref="M1:N1"/>
  </mergeCells>
  <pageMargins left="0" right="0" top="0" bottom="0" header="0" footer="0"/>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E67C73"/>
    <outlinePr summaryBelow="0" summaryRight="0"/>
  </sheetPr>
  <dimension ref="A1:AB58"/>
  <sheetViews>
    <sheetView showGridLines="0" workbookViewId="0"/>
  </sheetViews>
  <sheetFormatPr defaultColWidth="12.5546875" defaultRowHeight="15.75" customHeight="1"/>
  <cols>
    <col min="1" max="1" width="6.88671875" customWidth="1"/>
    <col min="2" max="2" width="71.44140625" customWidth="1"/>
    <col min="3" max="3" width="15.6640625" customWidth="1"/>
    <col min="4" max="4" width="12.44140625" customWidth="1"/>
    <col min="7" max="7" width="12.44140625" customWidth="1"/>
    <col min="8" max="8" width="3" customWidth="1"/>
    <col min="9" max="9" width="7.77734375" customWidth="1"/>
    <col min="10" max="10" width="6.44140625" customWidth="1"/>
    <col min="11" max="27" width="4.6640625" customWidth="1"/>
    <col min="28" max="28" width="4.88671875" customWidth="1"/>
  </cols>
  <sheetData>
    <row r="1" spans="1:28">
      <c r="A1" s="14"/>
      <c r="B1" s="14"/>
      <c r="C1" s="14" t="s">
        <v>476</v>
      </c>
      <c r="D1" s="14" t="s">
        <v>476</v>
      </c>
      <c r="G1" s="93" t="s">
        <v>7</v>
      </c>
      <c r="H1" s="94">
        <v>2</v>
      </c>
      <c r="I1" s="135" t="s">
        <v>12</v>
      </c>
      <c r="J1" s="136"/>
      <c r="K1" s="135" t="s">
        <v>83</v>
      </c>
      <c r="L1" s="129"/>
      <c r="M1" s="135" t="s">
        <v>307</v>
      </c>
      <c r="N1" s="129"/>
      <c r="O1" s="135" t="s">
        <v>311</v>
      </c>
      <c r="P1" s="129"/>
      <c r="Q1" s="135" t="s">
        <v>318</v>
      </c>
      <c r="R1" s="129"/>
      <c r="S1" s="135" t="s">
        <v>320</v>
      </c>
      <c r="T1" s="129"/>
      <c r="U1" s="135" t="s">
        <v>324</v>
      </c>
      <c r="V1" s="129"/>
      <c r="W1" s="135" t="s">
        <v>327</v>
      </c>
      <c r="X1" s="129"/>
      <c r="Y1" s="135" t="s">
        <v>329</v>
      </c>
      <c r="Z1" s="129"/>
      <c r="AA1" s="135" t="s">
        <v>333</v>
      </c>
      <c r="AB1" s="127"/>
    </row>
    <row r="2" spans="1:28">
      <c r="A2" s="95" t="s">
        <v>83</v>
      </c>
      <c r="B2" s="14" t="s">
        <v>278</v>
      </c>
      <c r="C2" s="113">
        <v>2</v>
      </c>
      <c r="D2" s="113">
        <v>10</v>
      </c>
      <c r="G2" s="97" t="s">
        <v>477</v>
      </c>
      <c r="H2" s="98" t="s">
        <v>478</v>
      </c>
      <c r="I2" s="99" t="s">
        <v>479</v>
      </c>
      <c r="J2" s="100" t="s">
        <v>480</v>
      </c>
      <c r="K2" s="99" t="s">
        <v>479</v>
      </c>
      <c r="L2" s="99" t="s">
        <v>480</v>
      </c>
      <c r="M2" s="99" t="s">
        <v>479</v>
      </c>
      <c r="N2" s="99" t="s">
        <v>480</v>
      </c>
      <c r="O2" s="99" t="s">
        <v>479</v>
      </c>
      <c r="P2" s="99" t="s">
        <v>480</v>
      </c>
      <c r="Q2" s="99" t="s">
        <v>479</v>
      </c>
      <c r="R2" s="99" t="s">
        <v>480</v>
      </c>
      <c r="S2" s="99" t="s">
        <v>479</v>
      </c>
      <c r="T2" s="99" t="s">
        <v>480</v>
      </c>
      <c r="U2" s="99" t="s">
        <v>479</v>
      </c>
      <c r="V2" s="99" t="s">
        <v>480</v>
      </c>
      <c r="W2" s="99" t="s">
        <v>479</v>
      </c>
      <c r="X2" s="99" t="s">
        <v>480</v>
      </c>
      <c r="Y2" s="99" t="s">
        <v>479</v>
      </c>
      <c r="Z2" s="99" t="s">
        <v>480</v>
      </c>
      <c r="AA2" s="99" t="s">
        <v>479</v>
      </c>
      <c r="AB2" s="101" t="s">
        <v>480</v>
      </c>
    </row>
    <row r="3" spans="1:28">
      <c r="A3" s="14"/>
      <c r="B3" s="14" t="s">
        <v>304</v>
      </c>
      <c r="C3" s="113">
        <v>2</v>
      </c>
      <c r="D3" s="113">
        <v>3</v>
      </c>
      <c r="G3" s="102">
        <v>44999</v>
      </c>
      <c r="H3" s="103">
        <v>0</v>
      </c>
      <c r="I3" s="104">
        <f>SUMIFS(Tasks!$H:$H, Tasks!$B:$B, $H$1)*(1-(1/13)*$H3)</f>
        <v>106.5</v>
      </c>
      <c r="J3" s="81">
        <f>SUMIFS(Task_hours!$H:$H, Task_hours!$B:$B, $H$1)-SUMIFS(Task_hours!$H:$H, Task_hours!$E:$E, $G3, Task_hours!$B:$B, $H$1)</f>
        <v>88.5</v>
      </c>
      <c r="K3" s="104">
        <f>SUMIFS(Tasks!$H:$H, Tasks!$C:$C, K$1, Tasks!$B:$B, $H$1)*(1-(1/13)*$H3)</f>
        <v>48.5</v>
      </c>
      <c r="L3" s="14">
        <f>SUMIFS(Task_hours!$H:$H, Task_hours!$C:$C, K$1, Task_hours!$B:$B, $H$1)-SUMIFS(Task_hours!$H:$H, Task_hours!$E:$E, $G3, Task_hours!$C:$C, K$1, Task_hours!$B:$B, $H$1)</f>
        <v>43</v>
      </c>
      <c r="M3" s="104">
        <f>SUMIFS(Tasks!$H:$H, Tasks!$C:$C, M$1, Tasks!$B:$B, $H$1)*(1-(1/13)*$H3)</f>
        <v>13</v>
      </c>
      <c r="N3" s="14">
        <f>SUMIFS(Task_hours!$H:$H, Task_hours!$C:$C, M$1, Task_hours!$B:$B, $H$1)-SUMIFS(Task_hours!$H:$H, Task_hours!$E:$E, $G3, Task_hours!$C:$C, M$1, Task_hours!$B:$B, $H$1)</f>
        <v>8</v>
      </c>
      <c r="O3" s="104">
        <f>SUMIFS(Tasks!$H:$H, Tasks!$C:$C, O$1, Tasks!$B:$B, $H$1)*(1-(1/13)*$H3)</f>
        <v>27</v>
      </c>
      <c r="P3" s="14">
        <f>SUMIFS(Task_hours!$H:$H, Task_hours!$C:$C, O$1, Task_hours!$B:$B, $H$1)-SUMIFS(Task_hours!$H:$H, Task_hours!$E:$E, $G3, Task_hours!$C:$C, O$1, Task_hours!$B:$B, $H$1)</f>
        <v>21</v>
      </c>
      <c r="Q3" s="104">
        <f>SUMIFS(Tasks!$H:$H, Tasks!$C:$C, Q$1, Tasks!$B:$B, $H$1)*(1-(1/13)*$H3)</f>
        <v>5</v>
      </c>
      <c r="R3" s="14">
        <f>SUMIFS(Task_hours!$H:$H, Task_hours!$C:$C, Q$1, Task_hours!$B:$B, $H$1)-SUMIFS(Task_hours!$H:$H, Task_hours!$E:$E, $G3, Task_hours!$C:$C, Q$1, Task_hours!$B:$B, $H$1)</f>
        <v>3.5</v>
      </c>
      <c r="S3" s="104">
        <f>SUMIFS(Tasks!$H:$H, Tasks!$C:$C, S$1, Tasks!$B:$B, $H$1)*(1-(1/13)*$H3)</f>
        <v>5</v>
      </c>
      <c r="T3" s="14">
        <f>SUMIFS(Task_hours!$H:$H, Task_hours!$C:$C, S$1, Task_hours!$B:$B, $H$1)-SUMIFS(Task_hours!$H:$H, Task_hours!$E:$E, $G3, Task_hours!$C:$C, S$1, Task_hours!$B:$B, $H$1)</f>
        <v>4</v>
      </c>
      <c r="U3" s="104">
        <f>SUMIFS(Tasks!$H:$H, Tasks!$C:$C, U$1, Tasks!$B:$B, $H$1)*(1-(1/13)*$H3)</f>
        <v>2</v>
      </c>
      <c r="V3" s="14">
        <f>SUMIFS(Task_hours!$H:$H, Task_hours!$C:$C, U$1, Task_hours!$B:$B, $H$1)-SUMIFS(Task_hours!$H:$H, Task_hours!$E:$E, $G3, Task_hours!$C:$C, U$1, Task_hours!$B:$B, $H$1)</f>
        <v>2</v>
      </c>
      <c r="W3" s="104">
        <f>SUMIFS(Tasks!$H:$H, Tasks!$C:$C, W$1, Tasks!$B:$B, $H$1)*(1-(1/13)*$H3)</f>
        <v>0.5</v>
      </c>
      <c r="X3" s="14">
        <f>SUMIFS(Task_hours!$H:$H, Task_hours!$C:$C, W$1, Task_hours!$B:$B, $H$1)-SUMIFS(Task_hours!$H:$H, Task_hours!$E:$E, $G3, Task_hours!$C:$C, W$1, Task_hours!$B:$B, $H$1)</f>
        <v>0.5</v>
      </c>
      <c r="Y3" s="104">
        <f>SUMIFS(Tasks!$H:$H, Tasks!$C:$C, Y$1, Tasks!$B:$B, $H$1)*(1-(1/13)*$H3)</f>
        <v>3.5</v>
      </c>
      <c r="Z3" s="14">
        <f>SUMIFS(Task_hours!$H:$H, Task_hours!$C:$C, Y$1, Task_hours!$B:$B, $H$1)-SUMIFS(Task_hours!$H:$H, Task_hours!$E:$E, $G3, Task_hours!$C:$C, Y$1, Task_hours!$B:$B, $H$1)</f>
        <v>3.5</v>
      </c>
      <c r="AA3" s="104">
        <f>SUMIFS(Tasks!$H:$H, Tasks!$C:$C, AA$1, Tasks!$B:$B, $H$1)*(1-(1/13)*$H3)</f>
        <v>2</v>
      </c>
      <c r="AB3" s="80">
        <f>SUMIFS(Task_hours!$H:$H, Task_hours!$C:$C, AA$1, Task_hours!$B:$B, $H$1)-SUMIFS(Task_hours!$H:$H, Task_hours!$E:$E, $G3, Task_hours!$C:$C, AA$1, Task_hours!$B:$B, $H$1)</f>
        <v>3</v>
      </c>
    </row>
    <row r="4" spans="1:28">
      <c r="A4" s="14"/>
      <c r="B4" s="14" t="s">
        <v>288</v>
      </c>
      <c r="C4" s="113">
        <v>3</v>
      </c>
      <c r="D4" s="113">
        <v>2.5</v>
      </c>
      <c r="G4" s="102">
        <v>45000</v>
      </c>
      <c r="H4" s="103">
        <v>1</v>
      </c>
      <c r="I4" s="104">
        <f>SUMIFS(Tasks!$H:$H, Tasks!$B:$B, $H$1)*(1-(1/13)*$H4)</f>
        <v>98.307692307692307</v>
      </c>
      <c r="J4" s="81">
        <f>J3-SUMIFS(Task_hours!$H:$H, Task_hours!$E:$E, $G4, Task_hours!$B:$B, $H$1)</f>
        <v>88.5</v>
      </c>
      <c r="K4" s="104">
        <f>SUMIFS(Tasks!$H:$H, Tasks!$C:$C, K$1, Tasks!$B:$B, $H$1)*(1-(1/13)*$H4)</f>
        <v>44.769230769230774</v>
      </c>
      <c r="L4" s="14">
        <f>L3-SUMIFS(Task_hours!$H:$H, Task_hours!$E:$E, $G4, Task_hours!$C:$C, K$1, Task_hours!$B:$B, $H$1)</f>
        <v>43</v>
      </c>
      <c r="M4" s="104">
        <f>SUMIFS(Tasks!$H:$H, Tasks!$C:$C, M$1, Tasks!$B:$B, $H$1)*(1-(1/13)*$H4)</f>
        <v>12</v>
      </c>
      <c r="N4" s="14">
        <f>N3-SUMIFS(Task_hours!$H:$H, Task_hours!$E:$E, $G4, Task_hours!$C:$C, M$1, Task_hours!$B:$B, $H$1)</f>
        <v>8</v>
      </c>
      <c r="O4" s="104">
        <f>SUMIFS(Tasks!$H:$H, Tasks!$C:$C, O$1, Tasks!$B:$B, $H$1)*(1-(1/13)*$H4)</f>
        <v>24.923076923076923</v>
      </c>
      <c r="P4" s="14">
        <f>P3-SUMIFS(Task_hours!$H:$H, Task_hours!$E:$E, $G4, Task_hours!$C:$C, O$1, Task_hours!$B:$B, $H$1)</f>
        <v>21</v>
      </c>
      <c r="Q4" s="104">
        <f>SUMIFS(Tasks!$H:$H, Tasks!$C:$C, Q$1, Tasks!$B:$B, $H$1)*(1-(1/13)*$H4)</f>
        <v>4.6153846153846159</v>
      </c>
      <c r="R4" s="14">
        <f>R3-SUMIFS(Task_hours!$H:$H, Task_hours!$E:$E, $G4, Task_hours!$C:$C, Q$1, Task_hours!$B:$B, $H$1)</f>
        <v>3.5</v>
      </c>
      <c r="S4" s="104">
        <f>SUMIFS(Tasks!$H:$H, Tasks!$C:$C, S$1, Tasks!$B:$B, $H$1)*(1-(1/13)*$H4)</f>
        <v>4.6153846153846159</v>
      </c>
      <c r="T4" s="14">
        <f>T3-SUMIFS(Task_hours!$H:$H, Task_hours!$E:$E, $G4, Task_hours!$C:$C, S$1, Task_hours!$B:$B, $H$1)</f>
        <v>4</v>
      </c>
      <c r="U4" s="104">
        <f>SUMIFS(Tasks!$H:$H, Tasks!$C:$C, U$1, Tasks!$B:$B, $H$1)*(1-(1/13)*$H4)</f>
        <v>1.8461538461538463</v>
      </c>
      <c r="V4" s="14">
        <f>V3-SUMIFS(Task_hours!$H:$H, Task_hours!$E:$E, $G4, Task_hours!$C:$C, U$1, Task_hours!$B:$B, $H$1)</f>
        <v>2</v>
      </c>
      <c r="W4" s="104">
        <f>SUMIFS(Tasks!$H:$H, Tasks!$C:$C, W$1, Tasks!$B:$B, $H$1)*(1-(1/13)*$H4)</f>
        <v>0.46153846153846156</v>
      </c>
      <c r="X4" s="14">
        <f>X3-SUMIFS(Task_hours!$H:$H, Task_hours!$E:$E, $G4, Task_hours!$C:$C, W$1, Task_hours!$B:$B, $H$1)</f>
        <v>0.5</v>
      </c>
      <c r="Y4" s="104">
        <f>SUMIFS(Tasks!$H:$H, Tasks!$C:$C, Y$1, Tasks!$B:$B, $H$1)*(1-(1/13)*$H4)</f>
        <v>3.2307692307692308</v>
      </c>
      <c r="Z4" s="14">
        <f>Z3-SUMIFS(Task_hours!$H:$H, Task_hours!$E:$E, $G4, Task_hours!$C:$C, Y$1, Task_hours!$B:$B, $H$1)</f>
        <v>3.5</v>
      </c>
      <c r="AA4" s="104">
        <f>SUMIFS(Tasks!$H:$H, Tasks!$C:$C, AA$1, Tasks!$B:$B, $H$1)*(1-(1/13)*$H4)</f>
        <v>1.8461538461538463</v>
      </c>
      <c r="AB4" s="80">
        <f>AB3-SUMIFS(Task_hours!$H:$H, Task_hours!$E:$E, $G4, Task_hours!$C:$C, AA$1, Task_hours!$B:$B, $H$1)</f>
        <v>3</v>
      </c>
    </row>
    <row r="5" spans="1:28">
      <c r="A5" s="14"/>
      <c r="B5" s="14" t="s">
        <v>290</v>
      </c>
      <c r="C5" s="113">
        <v>4</v>
      </c>
      <c r="D5" s="113">
        <v>3.5</v>
      </c>
      <c r="G5" s="102">
        <v>45001</v>
      </c>
      <c r="H5" s="103">
        <v>2</v>
      </c>
      <c r="I5" s="104">
        <f>SUMIFS(Tasks!$H:$H, Tasks!$B:$B, $H$1)*(1-(1/13)*$H5)</f>
        <v>90.115384615384613</v>
      </c>
      <c r="J5" s="81">
        <f>J4-SUMIFS(Task_hours!$H:$H, Task_hours!$E:$E, $G5, Task_hours!$B:$B, $H$1)</f>
        <v>84.5</v>
      </c>
      <c r="K5" s="104">
        <f>SUMIFS(Tasks!$H:$H, Tasks!$C:$C, K$1, Tasks!$B:$B, $H$1)*(1-(1/13)*$H5)</f>
        <v>41.03846153846154</v>
      </c>
      <c r="L5" s="14">
        <f>L4-SUMIFS(Task_hours!$H:$H, Task_hours!$E:$E, $G5, Task_hours!$C:$C, K$1, Task_hours!$B:$B, $H$1)</f>
        <v>41</v>
      </c>
      <c r="M5" s="104">
        <f>SUMIFS(Tasks!$H:$H, Tasks!$C:$C, M$1, Tasks!$B:$B, $H$1)*(1-(1/13)*$H5)</f>
        <v>11</v>
      </c>
      <c r="N5" s="14">
        <f>N4-SUMIFS(Task_hours!$H:$H, Task_hours!$E:$E, $G5, Task_hours!$C:$C, M$1, Task_hours!$B:$B, $H$1)</f>
        <v>8</v>
      </c>
      <c r="O5" s="104">
        <f>SUMIFS(Tasks!$H:$H, Tasks!$C:$C, O$1, Tasks!$B:$B, $H$1)*(1-(1/13)*$H5)</f>
        <v>22.846153846153847</v>
      </c>
      <c r="P5" s="14">
        <f>P4-SUMIFS(Task_hours!$H:$H, Task_hours!$E:$E, $G5, Task_hours!$C:$C, O$1, Task_hours!$B:$B, $H$1)</f>
        <v>21</v>
      </c>
      <c r="Q5" s="104">
        <f>SUMIFS(Tasks!$H:$H, Tasks!$C:$C, Q$1, Tasks!$B:$B, $H$1)*(1-(1/13)*$H5)</f>
        <v>4.2307692307692308</v>
      </c>
      <c r="R5" s="14">
        <f>R4-SUMIFS(Task_hours!$H:$H, Task_hours!$E:$E, $G5, Task_hours!$C:$C, Q$1, Task_hours!$B:$B, $H$1)</f>
        <v>3.5</v>
      </c>
      <c r="S5" s="104">
        <f>SUMIFS(Tasks!$H:$H, Tasks!$C:$C, S$1, Tasks!$B:$B, $H$1)*(1-(1/13)*$H5)</f>
        <v>4.2307692307692308</v>
      </c>
      <c r="T5" s="14">
        <f>T4-SUMIFS(Task_hours!$H:$H, Task_hours!$E:$E, $G5, Task_hours!$C:$C, S$1, Task_hours!$B:$B, $H$1)</f>
        <v>4</v>
      </c>
      <c r="U5" s="104">
        <f>SUMIFS(Tasks!$H:$H, Tasks!$C:$C, U$1, Tasks!$B:$B, $H$1)*(1-(1/13)*$H5)</f>
        <v>1.6923076923076923</v>
      </c>
      <c r="V5" s="14">
        <f>V4-SUMIFS(Task_hours!$H:$H, Task_hours!$E:$E, $G5, Task_hours!$C:$C, U$1, Task_hours!$B:$B, $H$1)</f>
        <v>0</v>
      </c>
      <c r="W5" s="104">
        <f>SUMIFS(Tasks!$H:$H, Tasks!$C:$C, W$1, Tasks!$B:$B, $H$1)*(1-(1/13)*$H5)</f>
        <v>0.42307692307692307</v>
      </c>
      <c r="X5" s="14">
        <f>X4-SUMIFS(Task_hours!$H:$H, Task_hours!$E:$E, $G5, Task_hours!$C:$C, W$1, Task_hours!$B:$B, $H$1)</f>
        <v>0.5</v>
      </c>
      <c r="Y5" s="104">
        <f>SUMIFS(Tasks!$H:$H, Tasks!$C:$C, Y$1, Tasks!$B:$B, $H$1)*(1-(1/13)*$H5)</f>
        <v>2.9615384615384617</v>
      </c>
      <c r="Z5" s="14">
        <f>Z4-SUMIFS(Task_hours!$H:$H, Task_hours!$E:$E, $G5, Task_hours!$C:$C, Y$1, Task_hours!$B:$B, $H$1)</f>
        <v>3.5</v>
      </c>
      <c r="AA5" s="104">
        <f>SUMIFS(Tasks!$H:$H, Tasks!$C:$C, AA$1, Tasks!$B:$B, $H$1)*(1-(1/13)*$H5)</f>
        <v>1.6923076923076923</v>
      </c>
      <c r="AB5" s="80">
        <f>AB4-SUMIFS(Task_hours!$H:$H, Task_hours!$E:$E, $G5, Task_hours!$C:$C, AA$1, Task_hours!$B:$B, $H$1)</f>
        <v>3</v>
      </c>
    </row>
    <row r="6" spans="1:28">
      <c r="A6" s="14"/>
      <c r="B6" s="14" t="s">
        <v>289</v>
      </c>
      <c r="C6" s="113">
        <v>3</v>
      </c>
      <c r="D6" s="113">
        <v>1</v>
      </c>
      <c r="G6" s="102">
        <v>45002</v>
      </c>
      <c r="H6" s="103">
        <v>3</v>
      </c>
      <c r="I6" s="104">
        <f>SUMIFS(Tasks!$H:$H, Tasks!$B:$B, $H$1)*(1-(1/13)*$H6)</f>
        <v>81.92307692307692</v>
      </c>
      <c r="J6" s="81">
        <f>J5-SUMIFS(Task_hours!$H:$H, Task_hours!$E:$E, $G6, Task_hours!$B:$B, $H$1)</f>
        <v>79.5</v>
      </c>
      <c r="K6" s="104">
        <f>SUMIFS(Tasks!$H:$H, Tasks!$C:$C, K$1, Tasks!$B:$B, $H$1)*(1-(1/13)*$H6)</f>
        <v>37.307692307692307</v>
      </c>
      <c r="L6" s="14">
        <f>L5-SUMIFS(Task_hours!$H:$H, Task_hours!$E:$E, $G6, Task_hours!$C:$C, K$1, Task_hours!$B:$B, $H$1)</f>
        <v>40.5</v>
      </c>
      <c r="M6" s="104">
        <f>SUMIFS(Tasks!$H:$H, Tasks!$C:$C, M$1, Tasks!$B:$B, $H$1)*(1-(1/13)*$H6)</f>
        <v>10</v>
      </c>
      <c r="N6" s="14">
        <f>N5-SUMIFS(Task_hours!$H:$H, Task_hours!$E:$E, $G6, Task_hours!$C:$C, M$1, Task_hours!$B:$B, $H$1)</f>
        <v>8</v>
      </c>
      <c r="O6" s="104">
        <f>SUMIFS(Tasks!$H:$H, Tasks!$C:$C, O$1, Tasks!$B:$B, $H$1)*(1-(1/13)*$H6)</f>
        <v>20.769230769230766</v>
      </c>
      <c r="P6" s="14">
        <f>P5-SUMIFS(Task_hours!$H:$H, Task_hours!$E:$E, $G6, Task_hours!$C:$C, O$1, Task_hours!$B:$B, $H$1)</f>
        <v>21</v>
      </c>
      <c r="Q6" s="104">
        <f>SUMIFS(Tasks!$H:$H, Tasks!$C:$C, Q$1, Tasks!$B:$B, $H$1)*(1-(1/13)*$H6)</f>
        <v>3.8461538461538458</v>
      </c>
      <c r="R6" s="14">
        <f>R5-SUMIFS(Task_hours!$H:$H, Task_hours!$E:$E, $G6, Task_hours!$C:$C, Q$1, Task_hours!$B:$B, $H$1)</f>
        <v>3.5</v>
      </c>
      <c r="S6" s="104">
        <f>SUMIFS(Tasks!$H:$H, Tasks!$C:$C, S$1, Tasks!$B:$B, $H$1)*(1-(1/13)*$H6)</f>
        <v>3.8461538461538458</v>
      </c>
      <c r="T6" s="14">
        <f>T5-SUMIFS(Task_hours!$H:$H, Task_hours!$E:$E, $G6, Task_hours!$C:$C, S$1, Task_hours!$B:$B, $H$1)</f>
        <v>0</v>
      </c>
      <c r="U6" s="104">
        <f>SUMIFS(Tasks!$H:$H, Tasks!$C:$C, U$1, Tasks!$B:$B, $H$1)*(1-(1/13)*$H6)</f>
        <v>1.5384615384615383</v>
      </c>
      <c r="V6" s="14">
        <f>V5-SUMIFS(Task_hours!$H:$H, Task_hours!$E:$E, $G6, Task_hours!$C:$C, U$1, Task_hours!$B:$B, $H$1)</f>
        <v>0</v>
      </c>
      <c r="W6" s="104">
        <f>SUMIFS(Tasks!$H:$H, Tasks!$C:$C, W$1, Tasks!$B:$B, $H$1)*(1-(1/13)*$H6)</f>
        <v>0.38461538461538458</v>
      </c>
      <c r="X6" s="14">
        <f>X5-SUMIFS(Task_hours!$H:$H, Task_hours!$E:$E, $G6, Task_hours!$C:$C, W$1, Task_hours!$B:$B, $H$1)</f>
        <v>0</v>
      </c>
      <c r="Y6" s="104">
        <f>SUMIFS(Tasks!$H:$H, Tasks!$C:$C, Y$1, Tasks!$B:$B, $H$1)*(1-(1/13)*$H6)</f>
        <v>2.6923076923076921</v>
      </c>
      <c r="Z6" s="14">
        <f>Z5-SUMIFS(Task_hours!$H:$H, Task_hours!$E:$E, $G6, Task_hours!$C:$C, Y$1, Task_hours!$B:$B, $H$1)</f>
        <v>3.5</v>
      </c>
      <c r="AA6" s="104">
        <f>SUMIFS(Tasks!$H:$H, Tasks!$C:$C, AA$1, Tasks!$B:$B, $H$1)*(1-(1/13)*$H6)</f>
        <v>1.5384615384615383</v>
      </c>
      <c r="AB6" s="80">
        <f>AB5-SUMIFS(Task_hours!$H:$H, Task_hours!$E:$E, $G6, Task_hours!$C:$C, AA$1, Task_hours!$B:$B, $H$1)</f>
        <v>3</v>
      </c>
    </row>
    <row r="7" spans="1:28">
      <c r="A7" s="14"/>
      <c r="B7" s="14" t="s">
        <v>291</v>
      </c>
      <c r="C7" s="113">
        <v>1</v>
      </c>
      <c r="D7" s="113">
        <v>0.5</v>
      </c>
      <c r="G7" s="102">
        <v>45003</v>
      </c>
      <c r="H7" s="103">
        <v>4</v>
      </c>
      <c r="I7" s="104">
        <f>SUMIFS(Tasks!$H:$H, Tasks!$B:$B, $H$1)*(1-(1/13)*$H7)</f>
        <v>73.730769230769226</v>
      </c>
      <c r="J7" s="81">
        <f>J6-SUMIFS(Task_hours!$H:$H, Task_hours!$E:$E, $G7, Task_hours!$B:$B, $H$1)</f>
        <v>79.5</v>
      </c>
      <c r="K7" s="104">
        <f>SUMIFS(Tasks!$H:$H, Tasks!$C:$C, K$1, Tasks!$B:$B, $H$1)*(1-(1/13)*$H7)</f>
        <v>33.576923076923073</v>
      </c>
      <c r="L7" s="14">
        <f>L6-SUMIFS(Task_hours!$H:$H, Task_hours!$E:$E, $G7, Task_hours!$C:$C, K$1, Task_hours!$B:$B, $H$1)</f>
        <v>40.5</v>
      </c>
      <c r="M7" s="104">
        <f>SUMIFS(Tasks!$H:$H, Tasks!$C:$C, M$1, Tasks!$B:$B, $H$1)*(1-(1/13)*$H7)</f>
        <v>9</v>
      </c>
      <c r="N7" s="14">
        <f>N6-SUMIFS(Task_hours!$H:$H, Task_hours!$E:$E, $G7, Task_hours!$C:$C, M$1, Task_hours!$B:$B, $H$1)</f>
        <v>8</v>
      </c>
      <c r="O7" s="104">
        <f>SUMIFS(Tasks!$H:$H, Tasks!$C:$C, O$1, Tasks!$B:$B, $H$1)*(1-(1/13)*$H7)</f>
        <v>18.692307692307693</v>
      </c>
      <c r="P7" s="14">
        <f>P6-SUMIFS(Task_hours!$H:$H, Task_hours!$E:$E, $G7, Task_hours!$C:$C, O$1, Task_hours!$B:$B, $H$1)</f>
        <v>21</v>
      </c>
      <c r="Q7" s="104">
        <f>SUMIFS(Tasks!$H:$H, Tasks!$C:$C, Q$1, Tasks!$B:$B, $H$1)*(1-(1/13)*$H7)</f>
        <v>3.4615384615384617</v>
      </c>
      <c r="R7" s="14">
        <f>R6-SUMIFS(Task_hours!$H:$H, Task_hours!$E:$E, $G7, Task_hours!$C:$C, Q$1, Task_hours!$B:$B, $H$1)</f>
        <v>3.5</v>
      </c>
      <c r="S7" s="104">
        <f>SUMIFS(Tasks!$H:$H, Tasks!$C:$C, S$1, Tasks!$B:$B, $H$1)*(1-(1/13)*$H7)</f>
        <v>3.4615384615384617</v>
      </c>
      <c r="T7" s="14">
        <f>T6-SUMIFS(Task_hours!$H:$H, Task_hours!$E:$E, $G7, Task_hours!$C:$C, S$1, Task_hours!$B:$B, $H$1)</f>
        <v>0</v>
      </c>
      <c r="U7" s="104">
        <f>SUMIFS(Tasks!$H:$H, Tasks!$C:$C, U$1, Tasks!$B:$B, $H$1)*(1-(1/13)*$H7)</f>
        <v>1.3846153846153846</v>
      </c>
      <c r="V7" s="14">
        <f>V6-SUMIFS(Task_hours!$H:$H, Task_hours!$E:$E, $G7, Task_hours!$C:$C, U$1, Task_hours!$B:$B, $H$1)</f>
        <v>0</v>
      </c>
      <c r="W7" s="104">
        <f>SUMIFS(Tasks!$H:$H, Tasks!$C:$C, W$1, Tasks!$B:$B, $H$1)*(1-(1/13)*$H7)</f>
        <v>0.34615384615384615</v>
      </c>
      <c r="X7" s="14">
        <f>X6-SUMIFS(Task_hours!$H:$H, Task_hours!$E:$E, $G7, Task_hours!$C:$C, W$1, Task_hours!$B:$B, $H$1)</f>
        <v>0</v>
      </c>
      <c r="Y7" s="104">
        <f>SUMIFS(Tasks!$H:$H, Tasks!$C:$C, Y$1, Tasks!$B:$B, $H$1)*(1-(1/13)*$H7)</f>
        <v>2.4230769230769229</v>
      </c>
      <c r="Z7" s="14">
        <f>Z6-SUMIFS(Task_hours!$H:$H, Task_hours!$E:$E, $G7, Task_hours!$C:$C, Y$1, Task_hours!$B:$B, $H$1)</f>
        <v>3.5</v>
      </c>
      <c r="AA7" s="104">
        <f>SUMIFS(Tasks!$H:$H, Tasks!$C:$C, AA$1, Tasks!$B:$B, $H$1)*(1-(1/13)*$H7)</f>
        <v>1.3846153846153846</v>
      </c>
      <c r="AB7" s="80">
        <f>AB6-SUMIFS(Task_hours!$H:$H, Task_hours!$E:$E, $G7, Task_hours!$C:$C, AA$1, Task_hours!$B:$B, $H$1)</f>
        <v>3</v>
      </c>
    </row>
    <row r="8" spans="1:28">
      <c r="A8" s="14"/>
      <c r="B8" s="14" t="s">
        <v>292</v>
      </c>
      <c r="C8" s="113">
        <v>2</v>
      </c>
      <c r="D8" s="113">
        <v>1</v>
      </c>
      <c r="G8" s="102">
        <v>45004</v>
      </c>
      <c r="H8" s="103">
        <v>5</v>
      </c>
      <c r="I8" s="104">
        <f>SUMIFS(Tasks!$H:$H, Tasks!$B:$B, $H$1)*(1-(1/13)*$H8)</f>
        <v>65.538461538461547</v>
      </c>
      <c r="J8" s="81">
        <f>J7-SUMIFS(Task_hours!$H:$H, Task_hours!$E:$E, $G8, Task_hours!$B:$B, $H$1)</f>
        <v>64</v>
      </c>
      <c r="K8" s="104">
        <f>SUMIFS(Tasks!$H:$H, Tasks!$C:$C, K$1, Tasks!$B:$B, $H$1)*(1-(1/13)*$H8)</f>
        <v>29.846153846153847</v>
      </c>
      <c r="L8" s="14">
        <f>L7-SUMIFS(Task_hours!$H:$H, Task_hours!$E:$E, $G8, Task_hours!$C:$C, K$1, Task_hours!$B:$B, $H$1)</f>
        <v>33</v>
      </c>
      <c r="M8" s="104">
        <f>SUMIFS(Tasks!$H:$H, Tasks!$C:$C, M$1, Tasks!$B:$B, $H$1)*(1-(1/13)*$H8)</f>
        <v>8</v>
      </c>
      <c r="N8" s="14">
        <f>N7-SUMIFS(Task_hours!$H:$H, Task_hours!$E:$E, $G8, Task_hours!$C:$C, M$1, Task_hours!$B:$B, $H$1)</f>
        <v>6</v>
      </c>
      <c r="O8" s="104">
        <f>SUMIFS(Tasks!$H:$H, Tasks!$C:$C, O$1, Tasks!$B:$B, $H$1)*(1-(1/13)*$H8)</f>
        <v>16.615384615384617</v>
      </c>
      <c r="P8" s="14">
        <f>P7-SUMIFS(Task_hours!$H:$H, Task_hours!$E:$E, $G8, Task_hours!$C:$C, O$1, Task_hours!$B:$B, $H$1)</f>
        <v>15</v>
      </c>
      <c r="Q8" s="104">
        <f>SUMIFS(Tasks!$H:$H, Tasks!$C:$C, Q$1, Tasks!$B:$B, $H$1)*(1-(1/13)*$H8)</f>
        <v>3.0769230769230771</v>
      </c>
      <c r="R8" s="14">
        <f>R7-SUMIFS(Task_hours!$H:$H, Task_hours!$E:$E, $G8, Task_hours!$C:$C, Q$1, Task_hours!$B:$B, $H$1)</f>
        <v>3.5</v>
      </c>
      <c r="S8" s="104">
        <f>SUMIFS(Tasks!$H:$H, Tasks!$C:$C, S$1, Tasks!$B:$B, $H$1)*(1-(1/13)*$H8)</f>
        <v>3.0769230769230771</v>
      </c>
      <c r="T8" s="14">
        <f>T7-SUMIFS(Task_hours!$H:$H, Task_hours!$E:$E, $G8, Task_hours!$C:$C, S$1, Task_hours!$B:$B, $H$1)</f>
        <v>0</v>
      </c>
      <c r="U8" s="104">
        <f>SUMIFS(Tasks!$H:$H, Tasks!$C:$C, U$1, Tasks!$B:$B, $H$1)*(1-(1/13)*$H8)</f>
        <v>1.2307692307692308</v>
      </c>
      <c r="V8" s="14">
        <f>V7-SUMIFS(Task_hours!$H:$H, Task_hours!$E:$E, $G8, Task_hours!$C:$C, U$1, Task_hours!$B:$B, $H$1)</f>
        <v>0</v>
      </c>
      <c r="W8" s="104">
        <f>SUMIFS(Tasks!$H:$H, Tasks!$C:$C, W$1, Tasks!$B:$B, $H$1)*(1-(1/13)*$H8)</f>
        <v>0.30769230769230771</v>
      </c>
      <c r="X8" s="14">
        <f>X7-SUMIFS(Task_hours!$H:$H, Task_hours!$E:$E, $G8, Task_hours!$C:$C, W$1, Task_hours!$B:$B, $H$1)</f>
        <v>0</v>
      </c>
      <c r="Y8" s="104">
        <f>SUMIFS(Tasks!$H:$H, Tasks!$C:$C, Y$1, Tasks!$B:$B, $H$1)*(1-(1/13)*$H8)</f>
        <v>2.1538461538461542</v>
      </c>
      <c r="Z8" s="14">
        <f>Z7-SUMIFS(Task_hours!$H:$H, Task_hours!$E:$E, $G8, Task_hours!$C:$C, Y$1, Task_hours!$B:$B, $H$1)</f>
        <v>3.5</v>
      </c>
      <c r="AA8" s="104">
        <f>SUMIFS(Tasks!$H:$H, Tasks!$C:$C, AA$1, Tasks!$B:$B, $H$1)*(1-(1/13)*$H8)</f>
        <v>1.2307692307692308</v>
      </c>
      <c r="AB8" s="80">
        <f>AB7-SUMIFS(Task_hours!$H:$H, Task_hours!$E:$E, $G8, Task_hours!$C:$C, AA$1, Task_hours!$B:$B, $H$1)</f>
        <v>3</v>
      </c>
    </row>
    <row r="9" spans="1:28">
      <c r="A9" s="14"/>
      <c r="B9" s="14" t="s">
        <v>299</v>
      </c>
      <c r="C9" s="113">
        <v>1.5</v>
      </c>
      <c r="D9" s="113">
        <v>1</v>
      </c>
      <c r="G9" s="102">
        <v>45012</v>
      </c>
      <c r="H9" s="103">
        <v>6</v>
      </c>
      <c r="I9" s="104">
        <f>SUMIFS(Tasks!$H:$H, Tasks!$B:$B, $H$1)*(1-(1/13)*$H9)</f>
        <v>57.346153846153847</v>
      </c>
      <c r="J9" s="81">
        <f>J8-SUMIFS(Task_hours!$H:$H, Task_hours!$E:$E, $G9, Task_hours!$B:$B, $H$1)</f>
        <v>49.5</v>
      </c>
      <c r="K9" s="104">
        <f>SUMIFS(Tasks!$H:$H, Tasks!$C:$C, K$1, Tasks!$B:$B, $H$1)*(1-(1/13)*$H9)</f>
        <v>26.115384615384613</v>
      </c>
      <c r="L9" s="14">
        <f>L8-SUMIFS(Task_hours!$H:$H, Task_hours!$E:$E, $G9, Task_hours!$C:$C, K$1, Task_hours!$B:$B, $H$1)</f>
        <v>25.5</v>
      </c>
      <c r="M9" s="104">
        <f>SUMIFS(Tasks!$H:$H, Tasks!$C:$C, M$1, Tasks!$B:$B, $H$1)*(1-(1/13)*$H9)</f>
        <v>7</v>
      </c>
      <c r="N9" s="14">
        <f>N8-SUMIFS(Task_hours!$H:$H, Task_hours!$E:$E, $G9, Task_hours!$C:$C, M$1, Task_hours!$B:$B, $H$1)</f>
        <v>5</v>
      </c>
      <c r="O9" s="104">
        <f>SUMIFS(Tasks!$H:$H, Tasks!$C:$C, O$1, Tasks!$B:$B, $H$1)*(1-(1/13)*$H9)</f>
        <v>14.538461538461538</v>
      </c>
      <c r="P9" s="14">
        <f>P8-SUMIFS(Task_hours!$H:$H, Task_hours!$E:$E, $G9, Task_hours!$C:$C, O$1, Task_hours!$B:$B, $H$1)</f>
        <v>11</v>
      </c>
      <c r="Q9" s="104">
        <f>SUMIFS(Tasks!$H:$H, Tasks!$C:$C, Q$1, Tasks!$B:$B, $H$1)*(1-(1/13)*$H9)</f>
        <v>2.6923076923076921</v>
      </c>
      <c r="R9" s="14">
        <f>R8-SUMIFS(Task_hours!$H:$H, Task_hours!$E:$E, $G9, Task_hours!$C:$C, Q$1, Task_hours!$B:$B, $H$1)</f>
        <v>3.5</v>
      </c>
      <c r="S9" s="104">
        <f>SUMIFS(Tasks!$H:$H, Tasks!$C:$C, S$1, Tasks!$B:$B, $H$1)*(1-(1/13)*$H9)</f>
        <v>2.6923076923076921</v>
      </c>
      <c r="T9" s="14">
        <f>T8-SUMIFS(Task_hours!$H:$H, Task_hours!$E:$E, $G9, Task_hours!$C:$C, S$1, Task_hours!$B:$B, $H$1)</f>
        <v>0</v>
      </c>
      <c r="U9" s="104">
        <f>SUMIFS(Tasks!$H:$H, Tasks!$C:$C, U$1, Tasks!$B:$B, $H$1)*(1-(1/13)*$H9)</f>
        <v>1.0769230769230769</v>
      </c>
      <c r="V9" s="14">
        <f>V8-SUMIFS(Task_hours!$H:$H, Task_hours!$E:$E, $G9, Task_hours!$C:$C, U$1, Task_hours!$B:$B, $H$1)</f>
        <v>0</v>
      </c>
      <c r="W9" s="104">
        <f>SUMIFS(Tasks!$H:$H, Tasks!$C:$C, W$1, Tasks!$B:$B, $H$1)*(1-(1/13)*$H9)</f>
        <v>0.26923076923076922</v>
      </c>
      <c r="X9" s="14">
        <f>X8-SUMIFS(Task_hours!$H:$H, Task_hours!$E:$E, $G9, Task_hours!$C:$C, W$1, Task_hours!$B:$B, $H$1)</f>
        <v>0</v>
      </c>
      <c r="Y9" s="104">
        <f>SUMIFS(Tasks!$H:$H, Tasks!$C:$C, Y$1, Tasks!$B:$B, $H$1)*(1-(1/13)*$H9)</f>
        <v>1.8846153846153846</v>
      </c>
      <c r="Z9" s="14">
        <f>Z8-SUMIFS(Task_hours!$H:$H, Task_hours!$E:$E, $G9, Task_hours!$C:$C, Y$1, Task_hours!$B:$B, $H$1)</f>
        <v>1.5</v>
      </c>
      <c r="AA9" s="104">
        <f>SUMIFS(Tasks!$H:$H, Tasks!$C:$C, AA$1, Tasks!$B:$B, $H$1)*(1-(1/13)*$H9)</f>
        <v>1.0769230769230769</v>
      </c>
      <c r="AB9" s="80">
        <f>AB8-SUMIFS(Task_hours!$H:$H, Task_hours!$E:$E, $G9, Task_hours!$C:$C, AA$1, Task_hours!$B:$B, $H$1)</f>
        <v>3</v>
      </c>
    </row>
    <row r="10" spans="1:28">
      <c r="A10" s="14"/>
      <c r="B10" s="14" t="s">
        <v>84</v>
      </c>
      <c r="C10" s="113">
        <v>1</v>
      </c>
      <c r="D10" s="113">
        <v>1</v>
      </c>
      <c r="G10" s="102">
        <v>45013</v>
      </c>
      <c r="H10" s="103">
        <v>7</v>
      </c>
      <c r="I10" s="104">
        <f>SUMIFS(Tasks!$H:$H, Tasks!$B:$B, $H$1)*(1-(1/13)*$H10)</f>
        <v>49.153846153846146</v>
      </c>
      <c r="J10" s="81">
        <f>J9-SUMIFS(Task_hours!$H:$H, Task_hours!$E:$E, $G10, Task_hours!$B:$B, $H$1)</f>
        <v>49.5</v>
      </c>
      <c r="K10" s="104">
        <f>SUMIFS(Tasks!$H:$H, Tasks!$C:$C, K$1, Tasks!$B:$B, $H$1)*(1-(1/13)*$H10)</f>
        <v>22.38461538461538</v>
      </c>
      <c r="L10" s="14">
        <f>L9-SUMIFS(Task_hours!$H:$H, Task_hours!$E:$E, $G10, Task_hours!$C:$C, K$1, Task_hours!$B:$B, $H$1)</f>
        <v>25.5</v>
      </c>
      <c r="M10" s="104">
        <f>SUMIFS(Tasks!$H:$H, Tasks!$C:$C, M$1, Tasks!$B:$B, $H$1)*(1-(1/13)*$H10)</f>
        <v>5.9999999999999991</v>
      </c>
      <c r="N10" s="14">
        <f>N9-SUMIFS(Task_hours!$H:$H, Task_hours!$E:$E, $G10, Task_hours!$C:$C, M$1, Task_hours!$B:$B, $H$1)</f>
        <v>5</v>
      </c>
      <c r="O10" s="104">
        <f>SUMIFS(Tasks!$H:$H, Tasks!$C:$C, O$1, Tasks!$B:$B, $H$1)*(1-(1/13)*$H10)</f>
        <v>12.46153846153846</v>
      </c>
      <c r="P10" s="14">
        <f>P9-SUMIFS(Task_hours!$H:$H, Task_hours!$E:$E, $G10, Task_hours!$C:$C, O$1, Task_hours!$B:$B, $H$1)</f>
        <v>11</v>
      </c>
      <c r="Q10" s="104">
        <f>SUMIFS(Tasks!$H:$H, Tasks!$C:$C, Q$1, Tasks!$B:$B, $H$1)*(1-(1/13)*$H10)</f>
        <v>2.3076923076923075</v>
      </c>
      <c r="R10" s="14">
        <f>R9-SUMIFS(Task_hours!$H:$H, Task_hours!$E:$E, $G10, Task_hours!$C:$C, Q$1, Task_hours!$B:$B, $H$1)</f>
        <v>3.5</v>
      </c>
      <c r="S10" s="104">
        <f>SUMIFS(Tasks!$H:$H, Tasks!$C:$C, S$1, Tasks!$B:$B, $H$1)*(1-(1/13)*$H10)</f>
        <v>2.3076923076923075</v>
      </c>
      <c r="T10" s="14">
        <f>T9-SUMIFS(Task_hours!$H:$H, Task_hours!$E:$E, $G10, Task_hours!$C:$C, S$1, Task_hours!$B:$B, $H$1)</f>
        <v>0</v>
      </c>
      <c r="U10" s="104">
        <f>SUMIFS(Tasks!$H:$H, Tasks!$C:$C, U$1, Tasks!$B:$B, $H$1)*(1-(1/13)*$H10)</f>
        <v>0.92307692307692291</v>
      </c>
      <c r="V10" s="14">
        <f>V9-SUMIFS(Task_hours!$H:$H, Task_hours!$E:$E, $G10, Task_hours!$C:$C, U$1, Task_hours!$B:$B, $H$1)</f>
        <v>0</v>
      </c>
      <c r="W10" s="104">
        <f>SUMIFS(Tasks!$H:$H, Tasks!$C:$C, W$1, Tasks!$B:$B, $H$1)*(1-(1/13)*$H10)</f>
        <v>0.23076923076923073</v>
      </c>
      <c r="X10" s="14">
        <f>X9-SUMIFS(Task_hours!$H:$H, Task_hours!$E:$E, $G10, Task_hours!$C:$C, W$1, Task_hours!$B:$B, $H$1)</f>
        <v>0</v>
      </c>
      <c r="Y10" s="104">
        <f>SUMIFS(Tasks!$H:$H, Tasks!$C:$C, Y$1, Tasks!$B:$B, $H$1)*(1-(1/13)*$H10)</f>
        <v>1.615384615384615</v>
      </c>
      <c r="Z10" s="14">
        <f>Z9-SUMIFS(Task_hours!$H:$H, Task_hours!$E:$E, $G10, Task_hours!$C:$C, Y$1, Task_hours!$B:$B, $H$1)</f>
        <v>1.5</v>
      </c>
      <c r="AA10" s="104">
        <f>SUMIFS(Tasks!$H:$H, Tasks!$C:$C, AA$1, Tasks!$B:$B, $H$1)*(1-(1/13)*$H10)</f>
        <v>0.92307692307692291</v>
      </c>
      <c r="AB10" s="80">
        <f>AB9-SUMIFS(Task_hours!$H:$H, Task_hours!$E:$E, $G10, Task_hours!$C:$C, AA$1, Task_hours!$B:$B, $H$1)</f>
        <v>3</v>
      </c>
    </row>
    <row r="11" spans="1:28">
      <c r="A11" s="14"/>
      <c r="B11" s="14" t="s">
        <v>281</v>
      </c>
      <c r="C11" s="113">
        <v>1</v>
      </c>
      <c r="D11" s="113">
        <v>0.5</v>
      </c>
      <c r="G11" s="102">
        <v>45014</v>
      </c>
      <c r="H11" s="103">
        <v>8</v>
      </c>
      <c r="I11" s="104">
        <f>SUMIFS(Tasks!$H:$H, Tasks!$B:$B, $H$1)*(1-(1/13)*$H11)</f>
        <v>40.96153846153846</v>
      </c>
      <c r="J11" s="81">
        <f>J10-SUMIFS(Task_hours!$H:$H, Task_hours!$E:$E, $G11, Task_hours!$B:$B, $H$1)</f>
        <v>48</v>
      </c>
      <c r="K11" s="104">
        <f>SUMIFS(Tasks!$H:$H, Tasks!$C:$C, K$1, Tasks!$B:$B, $H$1)*(1-(1/13)*$H11)</f>
        <v>18.653846153846153</v>
      </c>
      <c r="L11" s="14">
        <f>L10-SUMIFS(Task_hours!$H:$H, Task_hours!$E:$E, $G11, Task_hours!$C:$C, K$1, Task_hours!$B:$B, $H$1)</f>
        <v>25.5</v>
      </c>
      <c r="M11" s="104">
        <f>SUMIFS(Tasks!$H:$H, Tasks!$C:$C, M$1, Tasks!$B:$B, $H$1)*(1-(1/13)*$H11)</f>
        <v>5</v>
      </c>
      <c r="N11" s="14">
        <f>N10-SUMIFS(Task_hours!$H:$H, Task_hours!$E:$E, $G11, Task_hours!$C:$C, M$1, Task_hours!$B:$B, $H$1)</f>
        <v>5</v>
      </c>
      <c r="O11" s="104">
        <f>SUMIFS(Tasks!$H:$H, Tasks!$C:$C, O$1, Tasks!$B:$B, $H$1)*(1-(1/13)*$H11)</f>
        <v>10.384615384615383</v>
      </c>
      <c r="P11" s="14">
        <f>P10-SUMIFS(Task_hours!$H:$H, Task_hours!$E:$E, $G11, Task_hours!$C:$C, O$1, Task_hours!$B:$B, $H$1)</f>
        <v>9.5</v>
      </c>
      <c r="Q11" s="104">
        <f>SUMIFS(Tasks!$H:$H, Tasks!$C:$C, Q$1, Tasks!$B:$B, $H$1)*(1-(1/13)*$H11)</f>
        <v>1.9230769230769229</v>
      </c>
      <c r="R11" s="14">
        <f>R10-SUMIFS(Task_hours!$H:$H, Task_hours!$E:$E, $G11, Task_hours!$C:$C, Q$1, Task_hours!$B:$B, $H$1)</f>
        <v>3.5</v>
      </c>
      <c r="S11" s="104">
        <f>SUMIFS(Tasks!$H:$H, Tasks!$C:$C, S$1, Tasks!$B:$B, $H$1)*(1-(1/13)*$H11)</f>
        <v>1.9230769230769229</v>
      </c>
      <c r="T11" s="14">
        <f>T10-SUMIFS(Task_hours!$H:$H, Task_hours!$E:$E, $G11, Task_hours!$C:$C, S$1, Task_hours!$B:$B, $H$1)</f>
        <v>0</v>
      </c>
      <c r="U11" s="104">
        <f>SUMIFS(Tasks!$H:$H, Tasks!$C:$C, U$1, Tasks!$B:$B, $H$1)*(1-(1/13)*$H11)</f>
        <v>0.76923076923076916</v>
      </c>
      <c r="V11" s="14">
        <f>V10-SUMIFS(Task_hours!$H:$H, Task_hours!$E:$E, $G11, Task_hours!$C:$C, U$1, Task_hours!$B:$B, $H$1)</f>
        <v>0</v>
      </c>
      <c r="W11" s="104">
        <f>SUMIFS(Tasks!$H:$H, Tasks!$C:$C, W$1, Tasks!$B:$B, $H$1)*(1-(1/13)*$H11)</f>
        <v>0.19230769230769229</v>
      </c>
      <c r="X11" s="14">
        <f>X10-SUMIFS(Task_hours!$H:$H, Task_hours!$E:$E, $G11, Task_hours!$C:$C, W$1, Task_hours!$B:$B, $H$1)</f>
        <v>0</v>
      </c>
      <c r="Y11" s="104">
        <f>SUMIFS(Tasks!$H:$H, Tasks!$C:$C, Y$1, Tasks!$B:$B, $H$1)*(1-(1/13)*$H11)</f>
        <v>1.346153846153846</v>
      </c>
      <c r="Z11" s="14">
        <f>Z10-SUMIFS(Task_hours!$H:$H, Task_hours!$E:$E, $G11, Task_hours!$C:$C, Y$1, Task_hours!$B:$B, $H$1)</f>
        <v>1.5</v>
      </c>
      <c r="AA11" s="104">
        <f>SUMIFS(Tasks!$H:$H, Tasks!$C:$C, AA$1, Tasks!$B:$B, $H$1)*(1-(1/13)*$H11)</f>
        <v>0.76923076923076916</v>
      </c>
      <c r="AB11" s="80">
        <f>AB10-SUMIFS(Task_hours!$H:$H, Task_hours!$E:$E, $G11, Task_hours!$C:$C, AA$1, Task_hours!$B:$B, $H$1)</f>
        <v>3</v>
      </c>
    </row>
    <row r="12" spans="1:28">
      <c r="A12" s="14"/>
      <c r="B12" s="14" t="s">
        <v>280</v>
      </c>
      <c r="C12" s="113">
        <v>2</v>
      </c>
      <c r="D12" s="113">
        <v>2.5</v>
      </c>
      <c r="G12" s="102">
        <v>45015</v>
      </c>
      <c r="H12" s="103">
        <v>9</v>
      </c>
      <c r="I12" s="104">
        <f>SUMIFS(Tasks!$H:$H, Tasks!$B:$B, $H$1)*(1-(1/13)*$H12)</f>
        <v>32.769230769230774</v>
      </c>
      <c r="J12" s="81">
        <f>J11-SUMIFS(Task_hours!$H:$H, Task_hours!$E:$E, $G12, Task_hours!$B:$B, $H$1)</f>
        <v>44.5</v>
      </c>
      <c r="K12" s="104">
        <f>SUMIFS(Tasks!$H:$H, Tasks!$C:$C, K$1, Tasks!$B:$B, $H$1)*(1-(1/13)*$H12)</f>
        <v>14.923076923076923</v>
      </c>
      <c r="L12" s="14">
        <f>L11-SUMIFS(Task_hours!$H:$H, Task_hours!$E:$E, $G12, Task_hours!$C:$C, K$1, Task_hours!$B:$B, $H$1)</f>
        <v>22</v>
      </c>
      <c r="M12" s="104">
        <f>SUMIFS(Tasks!$H:$H, Tasks!$C:$C, M$1, Tasks!$B:$B, $H$1)*(1-(1/13)*$H12)</f>
        <v>4</v>
      </c>
      <c r="N12" s="14">
        <f>N11-SUMIFS(Task_hours!$H:$H, Task_hours!$E:$E, $G12, Task_hours!$C:$C, M$1, Task_hours!$B:$B, $H$1)</f>
        <v>5</v>
      </c>
      <c r="O12" s="104">
        <f>SUMIFS(Tasks!$H:$H, Tasks!$C:$C, O$1, Tasks!$B:$B, $H$1)*(1-(1/13)*$H12)</f>
        <v>8.3076923076923084</v>
      </c>
      <c r="P12" s="14">
        <f>P11-SUMIFS(Task_hours!$H:$H, Task_hours!$E:$E, $G12, Task_hours!$C:$C, O$1, Task_hours!$B:$B, $H$1)</f>
        <v>9.5</v>
      </c>
      <c r="Q12" s="104">
        <f>SUMIFS(Tasks!$H:$H, Tasks!$C:$C, Q$1, Tasks!$B:$B, $H$1)*(1-(1/13)*$H12)</f>
        <v>1.5384615384615385</v>
      </c>
      <c r="R12" s="14">
        <f>R11-SUMIFS(Task_hours!$H:$H, Task_hours!$E:$E, $G12, Task_hours!$C:$C, Q$1, Task_hours!$B:$B, $H$1)</f>
        <v>3.5</v>
      </c>
      <c r="S12" s="104">
        <f>SUMIFS(Tasks!$H:$H, Tasks!$C:$C, S$1, Tasks!$B:$B, $H$1)*(1-(1/13)*$H12)</f>
        <v>1.5384615384615385</v>
      </c>
      <c r="T12" s="14">
        <f>T11-SUMIFS(Task_hours!$H:$H, Task_hours!$E:$E, $G12, Task_hours!$C:$C, S$1, Task_hours!$B:$B, $H$1)</f>
        <v>0</v>
      </c>
      <c r="U12" s="104">
        <f>SUMIFS(Tasks!$H:$H, Tasks!$C:$C, U$1, Tasks!$B:$B, $H$1)*(1-(1/13)*$H12)</f>
        <v>0.61538461538461542</v>
      </c>
      <c r="V12" s="14">
        <f>V11-SUMIFS(Task_hours!$H:$H, Task_hours!$E:$E, $G12, Task_hours!$C:$C, U$1, Task_hours!$B:$B, $H$1)</f>
        <v>0</v>
      </c>
      <c r="W12" s="104">
        <f>SUMIFS(Tasks!$H:$H, Tasks!$C:$C, W$1, Tasks!$B:$B, $H$1)*(1-(1/13)*$H12)</f>
        <v>0.15384615384615385</v>
      </c>
      <c r="X12" s="14">
        <f>X11-SUMIFS(Task_hours!$H:$H, Task_hours!$E:$E, $G12, Task_hours!$C:$C, W$1, Task_hours!$B:$B, $H$1)</f>
        <v>0</v>
      </c>
      <c r="Y12" s="104">
        <f>SUMIFS(Tasks!$H:$H, Tasks!$C:$C, Y$1, Tasks!$B:$B, $H$1)*(1-(1/13)*$H12)</f>
        <v>1.0769230769230771</v>
      </c>
      <c r="Z12" s="14">
        <f>Z11-SUMIFS(Task_hours!$H:$H, Task_hours!$E:$E, $G12, Task_hours!$C:$C, Y$1, Task_hours!$B:$B, $H$1)</f>
        <v>1.5</v>
      </c>
      <c r="AA12" s="104">
        <f>SUMIFS(Tasks!$H:$H, Tasks!$C:$C, AA$1, Tasks!$B:$B, $H$1)*(1-(1/13)*$H12)</f>
        <v>0.61538461538461542</v>
      </c>
      <c r="AB12" s="80">
        <f>AB11-SUMIFS(Task_hours!$H:$H, Task_hours!$E:$E, $G12, Task_hours!$C:$C, AA$1, Task_hours!$B:$B, $H$1)</f>
        <v>3</v>
      </c>
    </row>
    <row r="13" spans="1:28">
      <c r="A13" s="14"/>
      <c r="B13" s="14" t="s">
        <v>279</v>
      </c>
      <c r="C13" s="113">
        <v>1</v>
      </c>
      <c r="D13" s="113">
        <v>1.5</v>
      </c>
      <c r="G13" s="102">
        <v>45016</v>
      </c>
      <c r="H13" s="103">
        <v>10</v>
      </c>
      <c r="I13" s="104">
        <f>SUMIFS(Tasks!$H:$H, Tasks!$B:$B, $H$1)*(1-(1/13)*$H13)</f>
        <v>24.576923076923073</v>
      </c>
      <c r="J13" s="81">
        <f>J12-SUMIFS(Task_hours!$H:$H, Task_hours!$E:$E, $G13, Task_hours!$B:$B, $H$1)</f>
        <v>43</v>
      </c>
      <c r="K13" s="104">
        <f>SUMIFS(Tasks!$H:$H, Tasks!$C:$C, K$1, Tasks!$B:$B, $H$1)*(1-(1/13)*$H13)</f>
        <v>11.19230769230769</v>
      </c>
      <c r="L13" s="14">
        <f>L12-SUMIFS(Task_hours!$H:$H, Task_hours!$E:$E, $G13, Task_hours!$C:$C, K$1, Task_hours!$B:$B, $H$1)</f>
        <v>20.5</v>
      </c>
      <c r="M13" s="104">
        <f>SUMIFS(Tasks!$H:$H, Tasks!$C:$C, M$1, Tasks!$B:$B, $H$1)*(1-(1/13)*$H13)</f>
        <v>2.9999999999999996</v>
      </c>
      <c r="N13" s="14">
        <f>N12-SUMIFS(Task_hours!$H:$H, Task_hours!$E:$E, $G13, Task_hours!$C:$C, M$1, Task_hours!$B:$B, $H$1)</f>
        <v>5</v>
      </c>
      <c r="O13" s="104">
        <f>SUMIFS(Tasks!$H:$H, Tasks!$C:$C, O$1, Tasks!$B:$B, $H$1)*(1-(1/13)*$H13)</f>
        <v>6.2307692307692299</v>
      </c>
      <c r="P13" s="14">
        <f>P12-SUMIFS(Task_hours!$H:$H, Task_hours!$E:$E, $G13, Task_hours!$C:$C, O$1, Task_hours!$B:$B, $H$1)</f>
        <v>9.5</v>
      </c>
      <c r="Q13" s="104">
        <f>SUMIFS(Tasks!$H:$H, Tasks!$C:$C, Q$1, Tasks!$B:$B, $H$1)*(1-(1/13)*$H13)</f>
        <v>1.1538461538461537</v>
      </c>
      <c r="R13" s="14">
        <f>R12-SUMIFS(Task_hours!$H:$H, Task_hours!$E:$E, $G13, Task_hours!$C:$C, Q$1, Task_hours!$B:$B, $H$1)</f>
        <v>3.5</v>
      </c>
      <c r="S13" s="104">
        <f>SUMIFS(Tasks!$H:$H, Tasks!$C:$C, S$1, Tasks!$B:$B, $H$1)*(1-(1/13)*$H13)</f>
        <v>1.1538461538461537</v>
      </c>
      <c r="T13" s="14">
        <f>T12-SUMIFS(Task_hours!$H:$H, Task_hours!$E:$E, $G13, Task_hours!$C:$C, S$1, Task_hours!$B:$B, $H$1)</f>
        <v>0</v>
      </c>
      <c r="U13" s="104">
        <f>SUMIFS(Tasks!$H:$H, Tasks!$C:$C, U$1, Tasks!$B:$B, $H$1)*(1-(1/13)*$H13)</f>
        <v>0.46153846153846145</v>
      </c>
      <c r="V13" s="14">
        <f>V12-SUMIFS(Task_hours!$H:$H, Task_hours!$E:$E, $G13, Task_hours!$C:$C, U$1, Task_hours!$B:$B, $H$1)</f>
        <v>0</v>
      </c>
      <c r="W13" s="104">
        <f>SUMIFS(Tasks!$H:$H, Tasks!$C:$C, W$1, Tasks!$B:$B, $H$1)*(1-(1/13)*$H13)</f>
        <v>0.11538461538461536</v>
      </c>
      <c r="X13" s="14">
        <f>X12-SUMIFS(Task_hours!$H:$H, Task_hours!$E:$E, $G13, Task_hours!$C:$C, W$1, Task_hours!$B:$B, $H$1)</f>
        <v>0</v>
      </c>
      <c r="Y13" s="104">
        <f>SUMIFS(Tasks!$H:$H, Tasks!$C:$C, Y$1, Tasks!$B:$B, $H$1)*(1-(1/13)*$H13)</f>
        <v>0.80769230769230749</v>
      </c>
      <c r="Z13" s="14">
        <f>Z12-SUMIFS(Task_hours!$H:$H, Task_hours!$E:$E, $G13, Task_hours!$C:$C, Y$1, Task_hours!$B:$B, $H$1)</f>
        <v>1.5</v>
      </c>
      <c r="AA13" s="104">
        <f>SUMIFS(Tasks!$H:$H, Tasks!$C:$C, AA$1, Tasks!$B:$B, $H$1)*(1-(1/13)*$H13)</f>
        <v>0.46153846153846145</v>
      </c>
      <c r="AB13" s="80">
        <f>AB12-SUMIFS(Task_hours!$H:$H, Task_hours!$E:$E, $G13, Task_hours!$C:$C, AA$1, Task_hours!$B:$B, $H$1)</f>
        <v>3</v>
      </c>
    </row>
    <row r="14" spans="1:28">
      <c r="A14" s="14"/>
      <c r="B14" s="14" t="s">
        <v>287</v>
      </c>
      <c r="C14" s="113">
        <v>3</v>
      </c>
      <c r="D14" s="113">
        <v>0.5</v>
      </c>
      <c r="G14" s="102">
        <v>45017</v>
      </c>
      <c r="H14" s="103">
        <v>11</v>
      </c>
      <c r="I14" s="104">
        <f>SUMIFS(Tasks!$H:$H, Tasks!$B:$B, $H$1)*(1-(1/13)*$H14)</f>
        <v>16.384615384615373</v>
      </c>
      <c r="J14" s="81">
        <f>J13-SUMIFS(Task_hours!$H:$H, Task_hours!$E:$E, $G14, Task_hours!$B:$B, $H$1)</f>
        <v>43</v>
      </c>
      <c r="K14" s="104">
        <f>SUMIFS(Tasks!$H:$H, Tasks!$C:$C, K$1, Tasks!$B:$B, $H$1)*(1-(1/13)*$H14)</f>
        <v>7.4615384615384563</v>
      </c>
      <c r="L14" s="14">
        <f>L13-SUMIFS(Task_hours!$H:$H, Task_hours!$E:$E, $G14, Task_hours!$C:$C, K$1, Task_hours!$B:$B, $H$1)</f>
        <v>20.5</v>
      </c>
      <c r="M14" s="104">
        <f>SUMIFS(Tasks!$H:$H, Tasks!$C:$C, M$1, Tasks!$B:$B, $H$1)*(1-(1/13)*$H14)</f>
        <v>1.9999999999999987</v>
      </c>
      <c r="N14" s="14">
        <f>N13-SUMIFS(Task_hours!$H:$H, Task_hours!$E:$E, $G14, Task_hours!$C:$C, M$1, Task_hours!$B:$B, $H$1)</f>
        <v>5</v>
      </c>
      <c r="O14" s="104">
        <f>SUMIFS(Tasks!$H:$H, Tasks!$C:$C, O$1, Tasks!$B:$B, $H$1)*(1-(1/13)*$H14)</f>
        <v>4.1538461538461515</v>
      </c>
      <c r="P14" s="14">
        <f>P13-SUMIFS(Task_hours!$H:$H, Task_hours!$E:$E, $G14, Task_hours!$C:$C, O$1, Task_hours!$B:$B, $H$1)</f>
        <v>9.5</v>
      </c>
      <c r="Q14" s="104">
        <f>SUMIFS(Tasks!$H:$H, Tasks!$C:$C, Q$1, Tasks!$B:$B, $H$1)*(1-(1/13)*$H14)</f>
        <v>0.76923076923076872</v>
      </c>
      <c r="R14" s="14">
        <f>R13-SUMIFS(Task_hours!$H:$H, Task_hours!$E:$E, $G14, Task_hours!$C:$C, Q$1, Task_hours!$B:$B, $H$1)</f>
        <v>3.5</v>
      </c>
      <c r="S14" s="104">
        <f>SUMIFS(Tasks!$H:$H, Tasks!$C:$C, S$1, Tasks!$B:$B, $H$1)*(1-(1/13)*$H14)</f>
        <v>0.76923076923076872</v>
      </c>
      <c r="T14" s="14">
        <f>T13-SUMIFS(Task_hours!$H:$H, Task_hours!$E:$E, $G14, Task_hours!$C:$C, S$1, Task_hours!$B:$B, $H$1)</f>
        <v>0</v>
      </c>
      <c r="U14" s="104">
        <f>SUMIFS(Tasks!$H:$H, Tasks!$C:$C, U$1, Tasks!$B:$B, $H$1)*(1-(1/13)*$H14)</f>
        <v>0.30769230769230749</v>
      </c>
      <c r="V14" s="14">
        <f>V13-SUMIFS(Task_hours!$H:$H, Task_hours!$E:$E, $G14, Task_hours!$C:$C, U$1, Task_hours!$B:$B, $H$1)</f>
        <v>0</v>
      </c>
      <c r="W14" s="104">
        <f>SUMIFS(Tasks!$H:$H, Tasks!$C:$C, W$1, Tasks!$B:$B, $H$1)*(1-(1/13)*$H14)</f>
        <v>7.6923076923076872E-2</v>
      </c>
      <c r="X14" s="14">
        <f>X13-SUMIFS(Task_hours!$H:$H, Task_hours!$E:$E, $G14, Task_hours!$C:$C, W$1, Task_hours!$B:$B, $H$1)</f>
        <v>0</v>
      </c>
      <c r="Y14" s="104">
        <f>SUMIFS(Tasks!$H:$H, Tasks!$C:$C, Y$1, Tasks!$B:$B, $H$1)*(1-(1/13)*$H14)</f>
        <v>0.5384615384615381</v>
      </c>
      <c r="Z14" s="14">
        <f>Z13-SUMIFS(Task_hours!$H:$H, Task_hours!$E:$E, $G14, Task_hours!$C:$C, Y$1, Task_hours!$B:$B, $H$1)</f>
        <v>1.5</v>
      </c>
      <c r="AA14" s="104">
        <f>SUMIFS(Tasks!$H:$H, Tasks!$C:$C, AA$1, Tasks!$B:$B, $H$1)*(1-(1/13)*$H14)</f>
        <v>0.30769230769230749</v>
      </c>
      <c r="AB14" s="80">
        <f>AB13-SUMIFS(Task_hours!$H:$H, Task_hours!$E:$E, $G14, Task_hours!$C:$C, AA$1, Task_hours!$B:$B, $H$1)</f>
        <v>3</v>
      </c>
    </row>
    <row r="15" spans="1:28">
      <c r="A15" s="14"/>
      <c r="B15" s="14" t="s">
        <v>286</v>
      </c>
      <c r="C15" s="113">
        <v>2</v>
      </c>
      <c r="D15" s="113">
        <v>0.5</v>
      </c>
      <c r="G15" s="102">
        <v>45018</v>
      </c>
      <c r="H15" s="103">
        <v>12</v>
      </c>
      <c r="I15" s="104">
        <f>SUMIFS(Tasks!$H:$H, Tasks!$B:$B, $H$1)*(1-(1/13)*$H15)</f>
        <v>8.1923076923076863</v>
      </c>
      <c r="J15" s="81">
        <f>J14-SUMIFS(Task_hours!$H:$H, Task_hours!$E:$E, $G15, Task_hours!$B:$B, $H$1)</f>
        <v>34.5</v>
      </c>
      <c r="K15" s="104">
        <f>SUMIFS(Tasks!$H:$H, Tasks!$C:$C, K$1, Tasks!$B:$B, $H$1)*(1-(1/13)*$H15)</f>
        <v>3.7307692307692282</v>
      </c>
      <c r="L15" s="14">
        <f>L14-SUMIFS(Task_hours!$H:$H, Task_hours!$E:$E, $G15, Task_hours!$C:$C, K$1, Task_hours!$B:$B, $H$1)</f>
        <v>12</v>
      </c>
      <c r="M15" s="104">
        <f>SUMIFS(Tasks!$H:$H, Tasks!$C:$C, M$1, Tasks!$B:$B, $H$1)*(1-(1/13)*$H15)</f>
        <v>0.99999999999999933</v>
      </c>
      <c r="N15" s="14">
        <f>N14-SUMIFS(Task_hours!$H:$H, Task_hours!$E:$E, $G15, Task_hours!$C:$C, M$1, Task_hours!$B:$B, $H$1)</f>
        <v>5</v>
      </c>
      <c r="O15" s="104">
        <f>SUMIFS(Tasks!$H:$H, Tasks!$C:$C, O$1, Tasks!$B:$B, $H$1)*(1-(1/13)*$H15)</f>
        <v>2.0769230769230758</v>
      </c>
      <c r="P15" s="14">
        <f>P14-SUMIFS(Task_hours!$H:$H, Task_hours!$E:$E, $G15, Task_hours!$C:$C, O$1, Task_hours!$B:$B, $H$1)</f>
        <v>9.5</v>
      </c>
      <c r="Q15" s="104">
        <f>SUMIFS(Tasks!$H:$H, Tasks!$C:$C, Q$1, Tasks!$B:$B, $H$1)*(1-(1/13)*$H15)</f>
        <v>0.38461538461538436</v>
      </c>
      <c r="R15" s="14">
        <f>R14-SUMIFS(Task_hours!$H:$H, Task_hours!$E:$E, $G15, Task_hours!$C:$C, Q$1, Task_hours!$B:$B, $H$1)</f>
        <v>3.5</v>
      </c>
      <c r="S15" s="104">
        <f>SUMIFS(Tasks!$H:$H, Tasks!$C:$C, S$1, Tasks!$B:$B, $H$1)*(1-(1/13)*$H15)</f>
        <v>0.38461538461538436</v>
      </c>
      <c r="T15" s="14">
        <f>T14-SUMIFS(Task_hours!$H:$H, Task_hours!$E:$E, $G15, Task_hours!$C:$C, S$1, Task_hours!$B:$B, $H$1)</f>
        <v>0</v>
      </c>
      <c r="U15" s="104">
        <f>SUMIFS(Tasks!$H:$H, Tasks!$C:$C, U$1, Tasks!$B:$B, $H$1)*(1-(1/13)*$H15)</f>
        <v>0.15384615384615374</v>
      </c>
      <c r="V15" s="14">
        <f>V14-SUMIFS(Task_hours!$H:$H, Task_hours!$E:$E, $G15, Task_hours!$C:$C, U$1, Task_hours!$B:$B, $H$1)</f>
        <v>0</v>
      </c>
      <c r="W15" s="104">
        <f>SUMIFS(Tasks!$H:$H, Tasks!$C:$C, W$1, Tasks!$B:$B, $H$1)*(1-(1/13)*$H15)</f>
        <v>3.8461538461538436E-2</v>
      </c>
      <c r="X15" s="14">
        <f>X14-SUMIFS(Task_hours!$H:$H, Task_hours!$E:$E, $G15, Task_hours!$C:$C, W$1, Task_hours!$B:$B, $H$1)</f>
        <v>0</v>
      </c>
      <c r="Y15" s="104">
        <f>SUMIFS(Tasks!$H:$H, Tasks!$C:$C, Y$1, Tasks!$B:$B, $H$1)*(1-(1/13)*$H15)</f>
        <v>0.26923076923076905</v>
      </c>
      <c r="Z15" s="14">
        <f>Z14-SUMIFS(Task_hours!$H:$H, Task_hours!$E:$E, $G15, Task_hours!$C:$C, Y$1, Task_hours!$B:$B, $H$1)</f>
        <v>1.5</v>
      </c>
      <c r="AA15" s="104">
        <f>SUMIFS(Tasks!$H:$H, Tasks!$C:$C, AA$1, Tasks!$B:$B, $H$1)*(1-(1/13)*$H15)</f>
        <v>0.15384615384615374</v>
      </c>
      <c r="AB15" s="80">
        <f>AB14-SUMIFS(Task_hours!$H:$H, Task_hours!$E:$E, $G15, Task_hours!$C:$C, AA$1, Task_hours!$B:$B, $H$1)</f>
        <v>3</v>
      </c>
    </row>
    <row r="16" spans="1:28">
      <c r="A16" s="14"/>
      <c r="B16" s="14" t="s">
        <v>284</v>
      </c>
      <c r="C16" s="113">
        <v>2</v>
      </c>
      <c r="D16" s="113">
        <v>1</v>
      </c>
      <c r="G16" s="107">
        <v>45033</v>
      </c>
      <c r="H16" s="108">
        <v>13</v>
      </c>
      <c r="I16" s="109">
        <f>SUMIFS(Tasks!$H:$H, Tasks!$B:$B, $H$1)*(1-(1/13)*$H16)</f>
        <v>0</v>
      </c>
      <c r="J16" s="114">
        <f>J15-SUMIFS(Task_hours!$H:$H, Task_hours!$E:$E, $G16, Task_hours!$B:$B, $H$1)</f>
        <v>0</v>
      </c>
      <c r="K16" s="109">
        <f>SUMIFS(Tasks!$H:$H, Tasks!$C:$C, K$1, Tasks!$B:$B, $H$1)*(1-(1/13)*$H16)</f>
        <v>0</v>
      </c>
      <c r="L16" s="115">
        <f>L15-SUMIFS(Task_hours!$H:$H, Task_hours!$E:$E, $G16, Task_hours!$C:$C, K$1, Task_hours!$B:$B, $H$1)</f>
        <v>0</v>
      </c>
      <c r="M16" s="109">
        <f>SUMIFS(Tasks!$H:$H, Tasks!$C:$C, M$1, Tasks!$B:$B, $H$1)*(1-(1/13)*$H16)</f>
        <v>0</v>
      </c>
      <c r="N16" s="115">
        <f>N15-SUMIFS(Task_hours!$H:$H, Task_hours!$E:$E, $G16, Task_hours!$C:$C, M$1, Task_hours!$B:$B, $H$1)</f>
        <v>0</v>
      </c>
      <c r="O16" s="109">
        <f>SUMIFS(Tasks!$H:$H, Tasks!$C:$C, O$1, Tasks!$B:$B, $H$1)*(1-(1/13)*$H16)</f>
        <v>0</v>
      </c>
      <c r="P16" s="115">
        <f>P15-SUMIFS(Task_hours!$H:$H, Task_hours!$E:$E, $G16, Task_hours!$C:$C, O$1, Task_hours!$B:$B, $H$1)</f>
        <v>0</v>
      </c>
      <c r="Q16" s="109">
        <f>SUMIFS(Tasks!$H:$H, Tasks!$C:$C, Q$1, Tasks!$B:$B, $H$1)*(1-(1/13)*$H16)</f>
        <v>0</v>
      </c>
      <c r="R16" s="115">
        <f>R15-SUMIFS(Task_hours!$H:$H, Task_hours!$E:$E, $G16, Task_hours!$C:$C, Q$1, Task_hours!$B:$B, $H$1)</f>
        <v>0</v>
      </c>
      <c r="S16" s="109">
        <f>SUMIFS(Tasks!$H:$H, Tasks!$C:$C, S$1, Tasks!$B:$B, $H$1)*(1-(1/13)*$H16)</f>
        <v>0</v>
      </c>
      <c r="T16" s="115">
        <f>T15-SUMIFS(Task_hours!$H:$H, Task_hours!$E:$E, $G16, Task_hours!$C:$C, S$1, Task_hours!$B:$B, $H$1)</f>
        <v>0</v>
      </c>
      <c r="U16" s="109">
        <f>SUMIFS(Tasks!$H:$H, Tasks!$C:$C, U$1, Tasks!$B:$B, $H$1)*(1-(1/13)*$H16)</f>
        <v>0</v>
      </c>
      <c r="V16" s="115">
        <f>V15-SUMIFS(Task_hours!$H:$H, Task_hours!$E:$E, $G16, Task_hours!$C:$C, U$1, Task_hours!$B:$B, $H$1)</f>
        <v>0</v>
      </c>
      <c r="W16" s="109">
        <f>SUMIFS(Tasks!$H:$H, Tasks!$C:$C, W$1, Tasks!$B:$B, $H$1)*(1-(1/13)*$H16)</f>
        <v>0</v>
      </c>
      <c r="X16" s="115">
        <f>X15-SUMIFS(Task_hours!$H:$H, Task_hours!$E:$E, $G16, Task_hours!$C:$C, W$1, Task_hours!$B:$B, $H$1)</f>
        <v>0</v>
      </c>
      <c r="Y16" s="109">
        <f>SUMIFS(Tasks!$H:$H, Tasks!$C:$C, Y$1, Tasks!$B:$B, $H$1)*(1-(1/13)*$H16)</f>
        <v>0</v>
      </c>
      <c r="Z16" s="115">
        <f>Z15-SUMIFS(Task_hours!$H:$H, Task_hours!$E:$E, $G16, Task_hours!$C:$C, Y$1, Task_hours!$B:$B, $H$1)</f>
        <v>0</v>
      </c>
      <c r="AA16" s="109">
        <f>SUMIFS(Tasks!$H:$H, Tasks!$C:$C, AA$1, Tasks!$B:$B, $H$1)*(1-(1/13)*$H16)</f>
        <v>0</v>
      </c>
      <c r="AB16" s="116">
        <f>AB15-SUMIFS(Task_hours!$H:$H, Task_hours!$E:$E, $G16, Task_hours!$C:$C, AA$1, Task_hours!$B:$B, $H$1)</f>
        <v>0</v>
      </c>
    </row>
    <row r="17" spans="1:8">
      <c r="A17" s="14"/>
      <c r="B17" s="14" t="s">
        <v>297</v>
      </c>
      <c r="C17" s="113">
        <v>2</v>
      </c>
      <c r="D17" s="113">
        <v>2.5</v>
      </c>
    </row>
    <row r="18" spans="1:8">
      <c r="A18" s="14"/>
      <c r="B18" s="14" t="s">
        <v>294</v>
      </c>
      <c r="C18" s="113">
        <v>1</v>
      </c>
      <c r="D18" s="113">
        <v>0.5</v>
      </c>
      <c r="H18" s="112"/>
    </row>
    <row r="19" spans="1:8">
      <c r="A19" s="14"/>
      <c r="B19" s="14" t="s">
        <v>300</v>
      </c>
      <c r="C19" s="113">
        <v>2</v>
      </c>
      <c r="D19" s="113">
        <v>2</v>
      </c>
      <c r="H19" s="112"/>
    </row>
    <row r="20" spans="1:8">
      <c r="A20" s="14"/>
      <c r="B20" s="14" t="s">
        <v>298</v>
      </c>
      <c r="C20" s="113">
        <v>2</v>
      </c>
      <c r="D20" s="113">
        <v>0.5</v>
      </c>
      <c r="H20" s="112"/>
    </row>
    <row r="21" spans="1:8">
      <c r="A21" s="14"/>
      <c r="B21" s="14" t="s">
        <v>285</v>
      </c>
      <c r="C21" s="113">
        <v>1</v>
      </c>
      <c r="D21" s="113">
        <v>0.5</v>
      </c>
      <c r="H21" s="112"/>
    </row>
    <row r="22" spans="1:8">
      <c r="A22" s="14"/>
      <c r="B22" s="14" t="s">
        <v>283</v>
      </c>
      <c r="C22" s="113">
        <v>2</v>
      </c>
      <c r="D22" s="113">
        <v>2</v>
      </c>
      <c r="H22" s="112"/>
    </row>
    <row r="23" spans="1:8">
      <c r="A23" s="14"/>
      <c r="B23" s="14" t="s">
        <v>295</v>
      </c>
      <c r="C23" s="113">
        <v>1</v>
      </c>
      <c r="D23" s="113">
        <v>0.5</v>
      </c>
      <c r="H23" s="112"/>
    </row>
    <row r="24" spans="1:8">
      <c r="A24" s="14"/>
      <c r="B24" s="14" t="s">
        <v>296</v>
      </c>
      <c r="C24" s="113">
        <v>2</v>
      </c>
      <c r="D24" s="113">
        <v>1</v>
      </c>
      <c r="H24" s="112"/>
    </row>
    <row r="25" spans="1:8">
      <c r="A25" s="14"/>
      <c r="B25" s="14" t="s">
        <v>302</v>
      </c>
      <c r="C25" s="113">
        <v>0.5</v>
      </c>
      <c r="D25" s="113">
        <v>0</v>
      </c>
    </row>
    <row r="26" spans="1:8">
      <c r="A26" s="14"/>
      <c r="B26" s="14" t="s">
        <v>306</v>
      </c>
      <c r="C26" s="113">
        <v>3</v>
      </c>
      <c r="D26" s="113">
        <v>2.5</v>
      </c>
    </row>
    <row r="27" spans="1:8">
      <c r="A27" s="14"/>
      <c r="B27" s="14" t="s">
        <v>303</v>
      </c>
      <c r="C27" s="113">
        <v>1</v>
      </c>
      <c r="D27" s="113">
        <v>0.5</v>
      </c>
    </row>
    <row r="28" spans="1:8">
      <c r="A28" s="14"/>
      <c r="B28" s="14" t="s">
        <v>305</v>
      </c>
      <c r="C28" s="113">
        <v>0.5</v>
      </c>
      <c r="D28" s="113">
        <v>0.5</v>
      </c>
    </row>
    <row r="29" spans="1:8">
      <c r="A29" s="14" t="s">
        <v>484</v>
      </c>
      <c r="B29" s="14"/>
      <c r="C29" s="113">
        <v>48.5</v>
      </c>
      <c r="D29" s="113">
        <v>43</v>
      </c>
    </row>
    <row r="30" spans="1:8">
      <c r="A30" s="95" t="s">
        <v>307</v>
      </c>
      <c r="B30" s="14" t="s">
        <v>310</v>
      </c>
      <c r="C30" s="113">
        <v>1</v>
      </c>
      <c r="D30" s="113">
        <v>0.5</v>
      </c>
    </row>
    <row r="31" spans="1:8">
      <c r="A31" s="14"/>
      <c r="B31" s="14" t="s">
        <v>309</v>
      </c>
      <c r="C31" s="113">
        <v>4</v>
      </c>
      <c r="D31" s="113">
        <v>4.5</v>
      </c>
    </row>
    <row r="32" spans="1:8">
      <c r="A32" s="14"/>
      <c r="B32" s="14" t="s">
        <v>308</v>
      </c>
      <c r="C32" s="113">
        <v>8</v>
      </c>
      <c r="D32" s="113">
        <v>3</v>
      </c>
    </row>
    <row r="33" spans="1:4">
      <c r="A33" s="14" t="s">
        <v>485</v>
      </c>
      <c r="B33" s="14"/>
      <c r="C33" s="113">
        <v>13</v>
      </c>
      <c r="D33" s="113">
        <v>8</v>
      </c>
    </row>
    <row r="34" spans="1:4">
      <c r="A34" s="95" t="s">
        <v>311</v>
      </c>
      <c r="B34" s="14" t="s">
        <v>314</v>
      </c>
      <c r="C34" s="113">
        <v>4</v>
      </c>
      <c r="D34" s="113">
        <v>4</v>
      </c>
    </row>
    <row r="35" spans="1:4">
      <c r="A35" s="14"/>
      <c r="B35" s="14" t="s">
        <v>317</v>
      </c>
      <c r="C35" s="113">
        <v>1</v>
      </c>
      <c r="D35" s="113">
        <v>1.5</v>
      </c>
    </row>
    <row r="36" spans="1:4">
      <c r="A36" s="14"/>
      <c r="B36" s="14" t="s">
        <v>313</v>
      </c>
      <c r="C36" s="113">
        <v>8</v>
      </c>
      <c r="D36" s="113">
        <v>4</v>
      </c>
    </row>
    <row r="37" spans="1:4">
      <c r="A37" s="14"/>
      <c r="B37" s="14" t="s">
        <v>312</v>
      </c>
      <c r="C37" s="113">
        <v>8</v>
      </c>
      <c r="D37" s="113">
        <v>6</v>
      </c>
    </row>
    <row r="38" spans="1:4">
      <c r="A38" s="14"/>
      <c r="B38" s="14" t="s">
        <v>315</v>
      </c>
      <c r="C38" s="113">
        <v>2</v>
      </c>
      <c r="D38" s="113">
        <v>1.5</v>
      </c>
    </row>
    <row r="39" spans="1:4">
      <c r="A39" s="14"/>
      <c r="B39" s="14" t="s">
        <v>316</v>
      </c>
      <c r="C39" s="113">
        <v>4</v>
      </c>
      <c r="D39" s="113">
        <v>4</v>
      </c>
    </row>
    <row r="40" spans="1:4">
      <c r="A40" s="14" t="s">
        <v>486</v>
      </c>
      <c r="B40" s="14"/>
      <c r="C40" s="113">
        <v>27</v>
      </c>
      <c r="D40" s="113">
        <v>21</v>
      </c>
    </row>
    <row r="41" spans="1:4">
      <c r="A41" s="95" t="s">
        <v>318</v>
      </c>
      <c r="B41" s="14" t="s">
        <v>319</v>
      </c>
      <c r="C41" s="113">
        <v>5</v>
      </c>
      <c r="D41" s="113">
        <v>3.5</v>
      </c>
    </row>
    <row r="42" spans="1:4">
      <c r="A42" s="14" t="s">
        <v>487</v>
      </c>
      <c r="B42" s="14"/>
      <c r="C42" s="113">
        <v>5</v>
      </c>
      <c r="D42" s="113">
        <v>3.5</v>
      </c>
    </row>
    <row r="43" spans="1:4">
      <c r="A43" s="95" t="s">
        <v>320</v>
      </c>
      <c r="B43" s="14" t="s">
        <v>323</v>
      </c>
      <c r="C43" s="113">
        <v>3</v>
      </c>
      <c r="D43" s="113">
        <v>1</v>
      </c>
    </row>
    <row r="44" spans="1:4">
      <c r="A44" s="14"/>
      <c r="B44" s="14" t="s">
        <v>322</v>
      </c>
      <c r="C44" s="113">
        <v>1</v>
      </c>
      <c r="D44" s="113">
        <v>2</v>
      </c>
    </row>
    <row r="45" spans="1:4">
      <c r="A45" s="14"/>
      <c r="B45" s="14" t="s">
        <v>321</v>
      </c>
      <c r="C45" s="113">
        <v>1</v>
      </c>
      <c r="D45" s="113">
        <v>1</v>
      </c>
    </row>
    <row r="46" spans="1:4">
      <c r="A46" s="14" t="s">
        <v>488</v>
      </c>
      <c r="B46" s="14"/>
      <c r="C46" s="113">
        <v>5</v>
      </c>
      <c r="D46" s="113">
        <v>4</v>
      </c>
    </row>
    <row r="47" spans="1:4">
      <c r="A47" s="95" t="s">
        <v>324</v>
      </c>
      <c r="B47" s="14" t="s">
        <v>326</v>
      </c>
      <c r="C47" s="113">
        <v>1</v>
      </c>
      <c r="D47" s="113">
        <v>1</v>
      </c>
    </row>
    <row r="48" spans="1:4">
      <c r="A48" s="14"/>
      <c r="B48" s="14" t="s">
        <v>325</v>
      </c>
      <c r="C48" s="113">
        <v>1</v>
      </c>
      <c r="D48" s="113">
        <v>1</v>
      </c>
    </row>
    <row r="49" spans="1:4">
      <c r="A49" s="14" t="s">
        <v>489</v>
      </c>
      <c r="B49" s="14"/>
      <c r="C49" s="113">
        <v>2</v>
      </c>
      <c r="D49" s="113">
        <v>2</v>
      </c>
    </row>
    <row r="50" spans="1:4">
      <c r="A50" s="95" t="s">
        <v>327</v>
      </c>
      <c r="B50" s="14" t="s">
        <v>490</v>
      </c>
      <c r="C50" s="113">
        <v>0.5</v>
      </c>
      <c r="D50" s="113">
        <v>0.5</v>
      </c>
    </row>
    <row r="51" spans="1:4">
      <c r="A51" s="14" t="s">
        <v>491</v>
      </c>
      <c r="B51" s="14"/>
      <c r="C51" s="113">
        <v>0.5</v>
      </c>
      <c r="D51" s="113">
        <v>0.5</v>
      </c>
    </row>
    <row r="52" spans="1:4">
      <c r="A52" s="95" t="s">
        <v>329</v>
      </c>
      <c r="B52" s="14" t="s">
        <v>332</v>
      </c>
      <c r="C52" s="113">
        <v>1.5</v>
      </c>
      <c r="D52" s="113">
        <v>1.5</v>
      </c>
    </row>
    <row r="53" spans="1:4">
      <c r="A53" s="14"/>
      <c r="B53" s="14" t="s">
        <v>330</v>
      </c>
      <c r="C53" s="113">
        <v>1</v>
      </c>
      <c r="D53" s="113">
        <v>1</v>
      </c>
    </row>
    <row r="54" spans="1:4">
      <c r="A54" s="14"/>
      <c r="B54" s="14" t="s">
        <v>331</v>
      </c>
      <c r="C54" s="113">
        <v>1</v>
      </c>
      <c r="D54" s="113">
        <v>1</v>
      </c>
    </row>
    <row r="55" spans="1:4">
      <c r="A55" s="14" t="s">
        <v>492</v>
      </c>
      <c r="B55" s="14"/>
      <c r="C55" s="113">
        <v>3.5</v>
      </c>
      <c r="D55" s="113">
        <v>3.5</v>
      </c>
    </row>
    <row r="56" spans="1:4">
      <c r="A56" s="95" t="s">
        <v>333</v>
      </c>
      <c r="B56" s="14" t="s">
        <v>334</v>
      </c>
      <c r="C56" s="113">
        <v>2</v>
      </c>
      <c r="D56" s="113">
        <v>3</v>
      </c>
    </row>
    <row r="57" spans="1:4">
      <c r="A57" s="14" t="s">
        <v>493</v>
      </c>
      <c r="B57" s="14"/>
      <c r="C57" s="113">
        <v>2</v>
      </c>
      <c r="D57" s="113">
        <v>3</v>
      </c>
    </row>
    <row r="58" spans="1:4">
      <c r="A58" s="14" t="s">
        <v>483</v>
      </c>
      <c r="B58" s="14"/>
      <c r="C58" s="113">
        <v>106.5</v>
      </c>
      <c r="D58" s="113">
        <v>88.5</v>
      </c>
    </row>
  </sheetData>
  <mergeCells count="10">
    <mergeCell ref="W1:X1"/>
    <mergeCell ref="Y1:Z1"/>
    <mergeCell ref="AA1:AB1"/>
    <mergeCell ref="I1:J1"/>
    <mergeCell ref="K1:L1"/>
    <mergeCell ref="M1:N1"/>
    <mergeCell ref="O1:P1"/>
    <mergeCell ref="Q1:R1"/>
    <mergeCell ref="S1:T1"/>
    <mergeCell ref="U1:V1"/>
  </mergeCells>
  <pageMargins left="0" right="0" top="0" bottom="0" header="0" footer="0"/>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E67C73"/>
    <outlinePr summaryBelow="0" summaryRight="0"/>
  </sheetPr>
  <dimension ref="A1:T52"/>
  <sheetViews>
    <sheetView showGridLines="0" workbookViewId="0"/>
  </sheetViews>
  <sheetFormatPr defaultColWidth="12.5546875" defaultRowHeight="15.75" customHeight="1"/>
  <cols>
    <col min="1" max="1" width="6.88671875" customWidth="1"/>
    <col min="2" max="2" width="76.5546875" customWidth="1"/>
    <col min="3" max="3" width="15.6640625" customWidth="1"/>
    <col min="4" max="4" width="12.44140625" customWidth="1"/>
    <col min="7" max="7" width="12" customWidth="1"/>
    <col min="8" max="8" width="3" customWidth="1"/>
    <col min="9" max="9" width="6.109375" customWidth="1"/>
    <col min="10" max="10" width="6.44140625" customWidth="1"/>
    <col min="11" max="19" width="4.6640625" customWidth="1"/>
    <col min="20" max="20" width="4.88671875" customWidth="1"/>
  </cols>
  <sheetData>
    <row r="1" spans="1:20">
      <c r="A1" s="14" t="s">
        <v>494</v>
      </c>
      <c r="B1" s="14"/>
      <c r="C1" s="14" t="s">
        <v>476</v>
      </c>
      <c r="D1" s="14" t="s">
        <v>476</v>
      </c>
      <c r="G1" s="93" t="s">
        <v>7</v>
      </c>
      <c r="H1" s="94">
        <v>3</v>
      </c>
      <c r="I1" s="135" t="s">
        <v>12</v>
      </c>
      <c r="J1" s="136"/>
      <c r="K1" s="135" t="s">
        <v>336</v>
      </c>
      <c r="L1" s="129"/>
      <c r="M1" s="135" t="s">
        <v>350</v>
      </c>
      <c r="N1" s="129"/>
      <c r="O1" s="135" t="s">
        <v>354</v>
      </c>
      <c r="P1" s="129"/>
      <c r="Q1" s="135" t="s">
        <v>360</v>
      </c>
      <c r="R1" s="129"/>
      <c r="S1" s="135" t="s">
        <v>370</v>
      </c>
      <c r="T1" s="127"/>
    </row>
    <row r="2" spans="1:20">
      <c r="A2" s="95" t="s">
        <v>336</v>
      </c>
      <c r="B2" s="14" t="s">
        <v>381</v>
      </c>
      <c r="C2" s="96">
        <v>4</v>
      </c>
      <c r="D2" s="113">
        <v>3</v>
      </c>
      <c r="G2" s="97" t="s">
        <v>477</v>
      </c>
      <c r="H2" s="98" t="s">
        <v>478</v>
      </c>
      <c r="I2" s="99" t="s">
        <v>479</v>
      </c>
      <c r="J2" s="100" t="s">
        <v>480</v>
      </c>
      <c r="K2" s="99" t="s">
        <v>479</v>
      </c>
      <c r="L2" s="99" t="s">
        <v>480</v>
      </c>
      <c r="M2" s="99" t="s">
        <v>479</v>
      </c>
      <c r="N2" s="99" t="s">
        <v>480</v>
      </c>
      <c r="O2" s="99" t="s">
        <v>479</v>
      </c>
      <c r="P2" s="99" t="s">
        <v>480</v>
      </c>
      <c r="Q2" s="99" t="s">
        <v>479</v>
      </c>
      <c r="R2" s="99" t="s">
        <v>480</v>
      </c>
      <c r="S2" s="99" t="s">
        <v>479</v>
      </c>
      <c r="T2" s="101" t="s">
        <v>480</v>
      </c>
    </row>
    <row r="3" spans="1:20">
      <c r="A3" s="14"/>
      <c r="B3" s="14" t="s">
        <v>346</v>
      </c>
      <c r="C3" s="113">
        <v>3</v>
      </c>
      <c r="D3" s="113">
        <v>6</v>
      </c>
      <c r="G3" s="102">
        <v>45034</v>
      </c>
      <c r="H3" s="103">
        <v>0</v>
      </c>
      <c r="I3" s="104">
        <f>SUMIFS(Tasks!$H:$H, Tasks!$B:$B, $H$1)*(1-(1/13)*$H3)</f>
        <v>117.5</v>
      </c>
      <c r="J3" s="81">
        <f>SUMIFS(Task_hours!$H:$H, Task_hours!$B:$B, $H$1)-SUMIFS(Task_hours!$H:$H, Task_hours!$E:$E, $G3, Task_hours!$B:$B, $H$1)</f>
        <v>102</v>
      </c>
      <c r="K3" s="104">
        <f>SUMIFS(Tasks!$H:$H, Tasks!$C:$C, K$1, Tasks!$B:$B, $H$1)*(1-(1/13)*$H3)</f>
        <v>40</v>
      </c>
      <c r="L3" s="14">
        <f>SUMIFS(Task_hours!$H:$H, Task_hours!$C:$C, K$1, Task_hours!$B:$B, $H$1)-SUMIFS(Task_hours!$H:$H, Task_hours!$E:$E, $G3, Task_hours!$C:$C, K$1, Task_hours!$B:$B, $H$1)</f>
        <v>42</v>
      </c>
      <c r="M3" s="104">
        <f>SUMIFS(Tasks!$H:$H, Tasks!$C:$C, M$1, Tasks!$B:$B, $H$1)*(1-(1/13)*$H3)</f>
        <v>10</v>
      </c>
      <c r="N3" s="14">
        <f>SUMIFS(Task_hours!$H:$H, Task_hours!$C:$C, M$1, Task_hours!$B:$B, $H$1)-SUMIFS(Task_hours!$H:$H, Task_hours!$E:$E, $G3, Task_hours!$C:$C, M$1, Task_hours!$B:$B, $H$1)</f>
        <v>8.5</v>
      </c>
      <c r="O3" s="104">
        <f>SUMIFS(Tasks!$H:$H, Tasks!$C:$C, O$1, Tasks!$B:$B, $H$1)*(1-(1/13)*$H3)</f>
        <v>12.5</v>
      </c>
      <c r="P3" s="14">
        <f>SUMIFS(Task_hours!$H:$H, Task_hours!$C:$C, O$1, Task_hours!$B:$B, $H$1)-SUMIFS(Task_hours!$H:$H, Task_hours!$E:$E, $G3, Task_hours!$C:$C, O$1, Task_hours!$B:$B, $H$1)</f>
        <v>7</v>
      </c>
      <c r="Q3" s="104">
        <f>SUMIFS(Tasks!$H:$H, Tasks!$C:$C, Q$1, Tasks!$B:$B, $H$1)*(1-(1/13)*$H3)</f>
        <v>29</v>
      </c>
      <c r="R3" s="14">
        <f>SUMIFS(Task_hours!$H:$H, Task_hours!$C:$C, Q$1, Task_hours!$B:$B, $H$1)-SUMIFS(Task_hours!$H:$H, Task_hours!$E:$E, $G3, Task_hours!$C:$C, Q$1, Task_hours!$B:$B, $H$1)</f>
        <v>22.5</v>
      </c>
      <c r="S3" s="104">
        <f>SUMIFS(Tasks!$H:$H, Tasks!$C:$C, S$1, Tasks!$B:$B, $H$1)*(1-(1/13)*$H3)</f>
        <v>26</v>
      </c>
      <c r="T3" s="80">
        <f>SUMIFS(Task_hours!$H:$H, Task_hours!$C:$C, S$1, Task_hours!$B:$B, $H$1)-SUMIFS(Task_hours!$H:$H, Task_hours!$E:$E, $G3, Task_hours!$C:$C, S$1, Task_hours!$B:$B, $H$1)</f>
        <v>22</v>
      </c>
    </row>
    <row r="4" spans="1:20">
      <c r="A4" s="14"/>
      <c r="B4" s="14" t="s">
        <v>347</v>
      </c>
      <c r="C4" s="113">
        <v>4</v>
      </c>
      <c r="D4" s="113">
        <v>5</v>
      </c>
      <c r="G4" s="102">
        <v>45035</v>
      </c>
      <c r="H4" s="103">
        <v>1</v>
      </c>
      <c r="I4" s="104">
        <f>SUMIFS(Tasks!$H:$H, Tasks!$B:$B, $H$1)*(1-(1/13)*$H4)</f>
        <v>108.46153846153847</v>
      </c>
      <c r="J4" s="81">
        <f>J3-SUMIFS(Task_hours!$H:$H, Task_hours!$E:$E, $G4, Task_hours!$B:$B, $H$1)</f>
        <v>98</v>
      </c>
      <c r="K4" s="104">
        <f>SUMIFS(Tasks!$H:$H, Tasks!$C:$C, K$1, Tasks!$B:$B, $H$1)*(1-(1/13)*$H4)</f>
        <v>36.923076923076927</v>
      </c>
      <c r="L4" s="14">
        <f>L3-SUMIFS(Task_hours!$H:$H, Task_hours!$E:$E, $G4, Task_hours!$C:$C, K$1, Task_hours!$B:$B, $H$1)</f>
        <v>39</v>
      </c>
      <c r="M4" s="104">
        <f>SUMIFS(Tasks!$H:$H, Tasks!$C:$C, M$1, Tasks!$B:$B, $H$1)*(1-(1/13)*$H4)</f>
        <v>9.2307692307692317</v>
      </c>
      <c r="N4" s="14">
        <f>N3-SUMIFS(Task_hours!$H:$H, Task_hours!$E:$E, $G4, Task_hours!$C:$C, M$1, Task_hours!$B:$B, $H$1)</f>
        <v>8.5</v>
      </c>
      <c r="O4" s="104">
        <f>SUMIFS(Tasks!$H:$H, Tasks!$C:$C, O$1, Tasks!$B:$B, $H$1)*(1-(1/13)*$H4)</f>
        <v>11.538461538461538</v>
      </c>
      <c r="P4" s="14">
        <f>P3-SUMIFS(Task_hours!$H:$H, Task_hours!$E:$E, $G4, Task_hours!$C:$C, O$1, Task_hours!$B:$B, $H$1)</f>
        <v>7</v>
      </c>
      <c r="Q4" s="104">
        <f>SUMIFS(Tasks!$H:$H, Tasks!$C:$C, Q$1, Tasks!$B:$B, $H$1)*(1-(1/13)*$H4)</f>
        <v>26.76923076923077</v>
      </c>
      <c r="R4" s="14">
        <f>R3-SUMIFS(Task_hours!$H:$H, Task_hours!$E:$E, $G4, Task_hours!$C:$C, Q$1, Task_hours!$B:$B, $H$1)</f>
        <v>22.5</v>
      </c>
      <c r="S4" s="104">
        <f>SUMIFS(Tasks!$H:$H, Tasks!$C:$C, S$1, Tasks!$B:$B, $H$1)*(1-(1/13)*$H4)</f>
        <v>24</v>
      </c>
      <c r="T4" s="80">
        <f>T3-SUMIFS(Task_hours!$H:$H, Task_hours!$E:$E, $G4, Task_hours!$C:$C, S$1, Task_hours!$B:$B, $H$1)</f>
        <v>21</v>
      </c>
    </row>
    <row r="5" spans="1:20">
      <c r="A5" s="14"/>
      <c r="B5" s="14" t="s">
        <v>349</v>
      </c>
      <c r="C5" s="96">
        <v>3</v>
      </c>
      <c r="D5" s="113">
        <v>0</v>
      </c>
      <c r="G5" s="102">
        <v>45036</v>
      </c>
      <c r="H5" s="103">
        <v>2</v>
      </c>
      <c r="I5" s="104">
        <f>SUMIFS(Tasks!$H:$H, Tasks!$B:$B, $H$1)*(1-(1/13)*$H5)</f>
        <v>99.42307692307692</v>
      </c>
      <c r="J5" s="81">
        <f>J4-SUMIFS(Task_hours!$H:$H, Task_hours!$E:$E, $G5, Task_hours!$B:$B, $H$1)</f>
        <v>94.5</v>
      </c>
      <c r="K5" s="104">
        <f>SUMIFS(Tasks!$H:$H, Tasks!$C:$C, K$1, Tasks!$B:$B, $H$1)*(1-(1/13)*$H5)</f>
        <v>33.846153846153847</v>
      </c>
      <c r="L5" s="14">
        <f>L4-SUMIFS(Task_hours!$H:$H, Task_hours!$E:$E, $G5, Task_hours!$C:$C, K$1, Task_hours!$B:$B, $H$1)</f>
        <v>39</v>
      </c>
      <c r="M5" s="104">
        <f>SUMIFS(Tasks!$H:$H, Tasks!$C:$C, M$1, Tasks!$B:$B, $H$1)*(1-(1/13)*$H5)</f>
        <v>8.4615384615384617</v>
      </c>
      <c r="N5" s="14">
        <f>N4-SUMIFS(Task_hours!$H:$H, Task_hours!$E:$E, $G5, Task_hours!$C:$C, M$1, Task_hours!$B:$B, $H$1)</f>
        <v>7</v>
      </c>
      <c r="O5" s="104">
        <f>SUMIFS(Tasks!$H:$H, Tasks!$C:$C, O$1, Tasks!$B:$B, $H$1)*(1-(1/13)*$H5)</f>
        <v>10.576923076923077</v>
      </c>
      <c r="P5" s="14">
        <f>P4-SUMIFS(Task_hours!$H:$H, Task_hours!$E:$E, $G5, Task_hours!$C:$C, O$1, Task_hours!$B:$B, $H$1)</f>
        <v>7</v>
      </c>
      <c r="Q5" s="104">
        <f>SUMIFS(Tasks!$H:$H, Tasks!$C:$C, Q$1, Tasks!$B:$B, $H$1)*(1-(1/13)*$H5)</f>
        <v>24.538461538461537</v>
      </c>
      <c r="R5" s="14">
        <f>R4-SUMIFS(Task_hours!$H:$H, Task_hours!$E:$E, $G5, Task_hours!$C:$C, Q$1, Task_hours!$B:$B, $H$1)</f>
        <v>22.5</v>
      </c>
      <c r="S5" s="104">
        <f>SUMIFS(Tasks!$H:$H, Tasks!$C:$C, S$1, Tasks!$B:$B, $H$1)*(1-(1/13)*$H5)</f>
        <v>22</v>
      </c>
      <c r="T5" s="80">
        <f>T4-SUMIFS(Task_hours!$H:$H, Task_hours!$E:$E, $G5, Task_hours!$C:$C, S$1, Task_hours!$B:$B, $H$1)</f>
        <v>19</v>
      </c>
    </row>
    <row r="6" spans="1:20">
      <c r="A6" s="14"/>
      <c r="B6" s="14" t="s">
        <v>348</v>
      </c>
      <c r="C6" s="96">
        <v>2</v>
      </c>
      <c r="D6" s="113">
        <v>2.5</v>
      </c>
      <c r="G6" s="102">
        <v>45037</v>
      </c>
      <c r="H6" s="103">
        <v>3</v>
      </c>
      <c r="I6" s="104">
        <f>SUMIFS(Tasks!$H:$H, Tasks!$B:$B, $H$1)*(1-(1/13)*$H6)</f>
        <v>90.384615384615373</v>
      </c>
      <c r="J6" s="81">
        <f>J5-SUMIFS(Task_hours!$H:$H, Task_hours!$E:$E, $G6, Task_hours!$B:$B, $H$1)</f>
        <v>91.5</v>
      </c>
      <c r="K6" s="104">
        <f>SUMIFS(Tasks!$H:$H, Tasks!$C:$C, K$1, Tasks!$B:$B, $H$1)*(1-(1/13)*$H6)</f>
        <v>30.769230769230766</v>
      </c>
      <c r="L6" s="14">
        <f>L5-SUMIFS(Task_hours!$H:$H, Task_hours!$E:$E, $G6, Task_hours!$C:$C, K$1, Task_hours!$B:$B, $H$1)</f>
        <v>36</v>
      </c>
      <c r="M6" s="104">
        <f>SUMIFS(Tasks!$H:$H, Tasks!$C:$C, M$1, Tasks!$B:$B, $H$1)*(1-(1/13)*$H6)</f>
        <v>7.6923076923076916</v>
      </c>
      <c r="N6" s="14">
        <f>N5-SUMIFS(Task_hours!$H:$H, Task_hours!$E:$E, $G6, Task_hours!$C:$C, M$1, Task_hours!$B:$B, $H$1)</f>
        <v>7</v>
      </c>
      <c r="O6" s="104">
        <f>SUMIFS(Tasks!$H:$H, Tasks!$C:$C, O$1, Tasks!$B:$B, $H$1)*(1-(1/13)*$H6)</f>
        <v>9.615384615384615</v>
      </c>
      <c r="P6" s="14">
        <f>P5-SUMIFS(Task_hours!$H:$H, Task_hours!$E:$E, $G6, Task_hours!$C:$C, O$1, Task_hours!$B:$B, $H$1)</f>
        <v>7</v>
      </c>
      <c r="Q6" s="104">
        <f>SUMIFS(Tasks!$H:$H, Tasks!$C:$C, Q$1, Tasks!$B:$B, $H$1)*(1-(1/13)*$H6)</f>
        <v>22.307692307692307</v>
      </c>
      <c r="R6" s="14">
        <f>R5-SUMIFS(Task_hours!$H:$H, Task_hours!$E:$E, $G6, Task_hours!$C:$C, Q$1, Task_hours!$B:$B, $H$1)</f>
        <v>22.5</v>
      </c>
      <c r="S6" s="104">
        <f>SUMIFS(Tasks!$H:$H, Tasks!$C:$C, S$1, Tasks!$B:$B, $H$1)*(1-(1/13)*$H6)</f>
        <v>20</v>
      </c>
      <c r="T6" s="80">
        <f>T5-SUMIFS(Task_hours!$H:$H, Task_hours!$E:$E, $G6, Task_hours!$C:$C, S$1, Task_hours!$B:$B, $H$1)</f>
        <v>19</v>
      </c>
    </row>
    <row r="7" spans="1:20">
      <c r="A7" s="14"/>
      <c r="B7" s="14" t="s">
        <v>380</v>
      </c>
      <c r="C7" s="96">
        <v>2</v>
      </c>
      <c r="D7" s="113">
        <v>4</v>
      </c>
      <c r="G7" s="102">
        <v>45038</v>
      </c>
      <c r="H7" s="103">
        <v>4</v>
      </c>
      <c r="I7" s="104">
        <f>SUMIFS(Tasks!$H:$H, Tasks!$B:$B, $H$1)*(1-(1/13)*$H7)</f>
        <v>81.34615384615384</v>
      </c>
      <c r="J7" s="81">
        <f>J6-SUMIFS(Task_hours!$H:$H, Task_hours!$E:$E, $G7, Task_hours!$B:$B, $H$1)</f>
        <v>90.5</v>
      </c>
      <c r="K7" s="104">
        <f>SUMIFS(Tasks!$H:$H, Tasks!$C:$C, K$1, Tasks!$B:$B, $H$1)*(1-(1/13)*$H7)</f>
        <v>27.692307692307693</v>
      </c>
      <c r="L7" s="14">
        <f>L6-SUMIFS(Task_hours!$H:$H, Task_hours!$E:$E, $G7, Task_hours!$C:$C, K$1, Task_hours!$B:$B, $H$1)</f>
        <v>35</v>
      </c>
      <c r="M7" s="104">
        <f>SUMIFS(Tasks!$H:$H, Tasks!$C:$C, M$1, Tasks!$B:$B, $H$1)*(1-(1/13)*$H7)</f>
        <v>6.9230769230769234</v>
      </c>
      <c r="N7" s="14">
        <f>N6-SUMIFS(Task_hours!$H:$H, Task_hours!$E:$E, $G7, Task_hours!$C:$C, M$1, Task_hours!$B:$B, $H$1)</f>
        <v>7</v>
      </c>
      <c r="O7" s="104">
        <f>SUMIFS(Tasks!$H:$H, Tasks!$C:$C, O$1, Tasks!$B:$B, $H$1)*(1-(1/13)*$H7)</f>
        <v>8.6538461538461533</v>
      </c>
      <c r="P7" s="14">
        <f>P6-SUMIFS(Task_hours!$H:$H, Task_hours!$E:$E, $G7, Task_hours!$C:$C, O$1, Task_hours!$B:$B, $H$1)</f>
        <v>7</v>
      </c>
      <c r="Q7" s="104">
        <f>SUMIFS(Tasks!$H:$H, Tasks!$C:$C, Q$1, Tasks!$B:$B, $H$1)*(1-(1/13)*$H7)</f>
        <v>20.076923076923077</v>
      </c>
      <c r="R7" s="14">
        <f>R6-SUMIFS(Task_hours!$H:$H, Task_hours!$E:$E, $G7, Task_hours!$C:$C, Q$1, Task_hours!$B:$B, $H$1)</f>
        <v>22.5</v>
      </c>
      <c r="S7" s="104">
        <f>SUMIFS(Tasks!$H:$H, Tasks!$C:$C, S$1, Tasks!$B:$B, $H$1)*(1-(1/13)*$H7)</f>
        <v>18</v>
      </c>
      <c r="T7" s="80">
        <f>T6-SUMIFS(Task_hours!$H:$H, Task_hours!$E:$E, $G7, Task_hours!$C:$C, S$1, Task_hours!$B:$B, $H$1)</f>
        <v>19</v>
      </c>
    </row>
    <row r="8" spans="1:20">
      <c r="A8" s="14"/>
      <c r="B8" s="14" t="s">
        <v>340</v>
      </c>
      <c r="C8" s="96">
        <v>2</v>
      </c>
      <c r="D8" s="113">
        <v>3</v>
      </c>
      <c r="G8" s="102">
        <v>45039</v>
      </c>
      <c r="H8" s="103">
        <v>5</v>
      </c>
      <c r="I8" s="104">
        <f>SUMIFS(Tasks!$H:$H, Tasks!$B:$B, $H$1)*(1-(1/13)*$H8)</f>
        <v>72.307692307692307</v>
      </c>
      <c r="J8" s="81">
        <f>J7-SUMIFS(Task_hours!$H:$H, Task_hours!$E:$E, $G8, Task_hours!$B:$B, $H$1)</f>
        <v>88</v>
      </c>
      <c r="K8" s="104">
        <f>SUMIFS(Tasks!$H:$H, Tasks!$C:$C, K$1, Tasks!$B:$B, $H$1)*(1-(1/13)*$H8)</f>
        <v>24.615384615384617</v>
      </c>
      <c r="L8" s="14">
        <f>L7-SUMIFS(Task_hours!$H:$H, Task_hours!$E:$E, $G8, Task_hours!$C:$C, K$1, Task_hours!$B:$B, $H$1)</f>
        <v>35</v>
      </c>
      <c r="M8" s="104">
        <f>SUMIFS(Tasks!$H:$H, Tasks!$C:$C, M$1, Tasks!$B:$B, $H$1)*(1-(1/13)*$H8)</f>
        <v>6.1538461538461542</v>
      </c>
      <c r="N8" s="14">
        <f>N7-SUMIFS(Task_hours!$H:$H, Task_hours!$E:$E, $G8, Task_hours!$C:$C, M$1, Task_hours!$B:$B, $H$1)</f>
        <v>7</v>
      </c>
      <c r="O8" s="104">
        <f>SUMIFS(Tasks!$H:$H, Tasks!$C:$C, O$1, Tasks!$B:$B, $H$1)*(1-(1/13)*$H8)</f>
        <v>7.6923076923076925</v>
      </c>
      <c r="P8" s="14">
        <f>P7-SUMIFS(Task_hours!$H:$H, Task_hours!$E:$E, $G8, Task_hours!$C:$C, O$1, Task_hours!$B:$B, $H$1)</f>
        <v>4.5</v>
      </c>
      <c r="Q8" s="104">
        <f>SUMIFS(Tasks!$H:$H, Tasks!$C:$C, Q$1, Tasks!$B:$B, $H$1)*(1-(1/13)*$H8)</f>
        <v>17.846153846153847</v>
      </c>
      <c r="R8" s="14">
        <f>R7-SUMIFS(Task_hours!$H:$H, Task_hours!$E:$E, $G8, Task_hours!$C:$C, Q$1, Task_hours!$B:$B, $H$1)</f>
        <v>22.5</v>
      </c>
      <c r="S8" s="104">
        <f>SUMIFS(Tasks!$H:$H, Tasks!$C:$C, S$1, Tasks!$B:$B, $H$1)*(1-(1/13)*$H8)</f>
        <v>16</v>
      </c>
      <c r="T8" s="80">
        <f>T7-SUMIFS(Task_hours!$H:$H, Task_hours!$E:$E, $G8, Task_hours!$C:$C, S$1, Task_hours!$B:$B, $H$1)</f>
        <v>19</v>
      </c>
    </row>
    <row r="9" spans="1:20">
      <c r="A9" s="14"/>
      <c r="B9" s="14" t="s">
        <v>341</v>
      </c>
      <c r="C9" s="96">
        <v>1</v>
      </c>
      <c r="D9" s="113">
        <v>3</v>
      </c>
      <c r="G9" s="102">
        <v>45040</v>
      </c>
      <c r="H9" s="103">
        <v>6</v>
      </c>
      <c r="I9" s="104">
        <f>SUMIFS(Tasks!$H:$H, Tasks!$B:$B, $H$1)*(1-(1/13)*$H9)</f>
        <v>63.269230769230766</v>
      </c>
      <c r="J9" s="81">
        <f>J8-SUMIFS(Task_hours!$H:$H, Task_hours!$E:$E, $G9, Task_hours!$B:$B, $H$1)</f>
        <v>82.5</v>
      </c>
      <c r="K9" s="104">
        <f>SUMIFS(Tasks!$H:$H, Tasks!$C:$C, K$1, Tasks!$B:$B, $H$1)*(1-(1/13)*$H9)</f>
        <v>21.538461538461537</v>
      </c>
      <c r="L9" s="14">
        <f>L8-SUMIFS(Task_hours!$H:$H, Task_hours!$E:$E, $G9, Task_hours!$C:$C, K$1, Task_hours!$B:$B, $H$1)</f>
        <v>32.5</v>
      </c>
      <c r="M9" s="104">
        <f>SUMIFS(Tasks!$H:$H, Tasks!$C:$C, M$1, Tasks!$B:$B, $H$1)*(1-(1/13)*$H9)</f>
        <v>5.3846153846153841</v>
      </c>
      <c r="N9" s="14">
        <f>N8-SUMIFS(Task_hours!$H:$H, Task_hours!$E:$E, $G9, Task_hours!$C:$C, M$1, Task_hours!$B:$B, $H$1)</f>
        <v>7</v>
      </c>
      <c r="O9" s="104">
        <f>SUMIFS(Tasks!$H:$H, Tasks!$C:$C, O$1, Tasks!$B:$B, $H$1)*(1-(1/13)*$H9)</f>
        <v>6.7307692307692308</v>
      </c>
      <c r="P9" s="14">
        <f>P8-SUMIFS(Task_hours!$H:$H, Task_hours!$E:$E, $G9, Task_hours!$C:$C, O$1, Task_hours!$B:$B, $H$1)</f>
        <v>3</v>
      </c>
      <c r="Q9" s="104">
        <f>SUMIFS(Tasks!$H:$H, Tasks!$C:$C, Q$1, Tasks!$B:$B, $H$1)*(1-(1/13)*$H9)</f>
        <v>15.615384615384615</v>
      </c>
      <c r="R9" s="14">
        <f>R8-SUMIFS(Task_hours!$H:$H, Task_hours!$E:$E, $G9, Task_hours!$C:$C, Q$1, Task_hours!$B:$B, $H$1)</f>
        <v>21.5</v>
      </c>
      <c r="S9" s="104">
        <f>SUMIFS(Tasks!$H:$H, Tasks!$C:$C, S$1, Tasks!$B:$B, $H$1)*(1-(1/13)*$H9)</f>
        <v>14</v>
      </c>
      <c r="T9" s="80">
        <f>T8-SUMIFS(Task_hours!$H:$H, Task_hours!$E:$E, $G9, Task_hours!$C:$C, S$1, Task_hours!$B:$B, $H$1)</f>
        <v>18.5</v>
      </c>
    </row>
    <row r="10" spans="1:20">
      <c r="A10" s="14"/>
      <c r="B10" s="14" t="s">
        <v>338</v>
      </c>
      <c r="C10" s="96">
        <v>2</v>
      </c>
      <c r="D10" s="113">
        <v>1</v>
      </c>
      <c r="G10" s="102">
        <v>45041</v>
      </c>
      <c r="H10" s="103">
        <v>7</v>
      </c>
      <c r="I10" s="104">
        <f>SUMIFS(Tasks!$H:$H, Tasks!$B:$B, $H$1)*(1-(1/13)*$H10)</f>
        <v>54.230769230769219</v>
      </c>
      <c r="J10" s="81">
        <f>J9-SUMIFS(Task_hours!$H:$H, Task_hours!$E:$E, $G10, Task_hours!$B:$B, $H$1)</f>
        <v>75</v>
      </c>
      <c r="K10" s="104">
        <f>SUMIFS(Tasks!$H:$H, Tasks!$C:$C, K$1, Tasks!$B:$B, $H$1)*(1-(1/13)*$H10)</f>
        <v>18.46153846153846</v>
      </c>
      <c r="L10" s="14">
        <f>L9-SUMIFS(Task_hours!$H:$H, Task_hours!$E:$E, $G10, Task_hours!$C:$C, K$1, Task_hours!$B:$B, $H$1)</f>
        <v>30.5</v>
      </c>
      <c r="M10" s="104">
        <f>SUMIFS(Tasks!$H:$H, Tasks!$C:$C, M$1, Tasks!$B:$B, $H$1)*(1-(1/13)*$H10)</f>
        <v>4.615384615384615</v>
      </c>
      <c r="N10" s="14">
        <f>N9-SUMIFS(Task_hours!$H:$H, Task_hours!$E:$E, $G10, Task_hours!$C:$C, M$1, Task_hours!$B:$B, $H$1)</f>
        <v>5.5</v>
      </c>
      <c r="O10" s="104">
        <f>SUMIFS(Tasks!$H:$H, Tasks!$C:$C, O$1, Tasks!$B:$B, $H$1)*(1-(1/13)*$H10)</f>
        <v>5.7692307692307683</v>
      </c>
      <c r="P10" s="14">
        <f>P9-SUMIFS(Task_hours!$H:$H, Task_hours!$E:$E, $G10, Task_hours!$C:$C, O$1, Task_hours!$B:$B, $H$1)</f>
        <v>3</v>
      </c>
      <c r="Q10" s="104">
        <f>SUMIFS(Tasks!$H:$H, Tasks!$C:$C, Q$1, Tasks!$B:$B, $H$1)*(1-(1/13)*$H10)</f>
        <v>13.384615384615381</v>
      </c>
      <c r="R10" s="14">
        <f>R9-SUMIFS(Task_hours!$H:$H, Task_hours!$E:$E, $G10, Task_hours!$C:$C, Q$1, Task_hours!$B:$B, $H$1)</f>
        <v>18</v>
      </c>
      <c r="S10" s="104">
        <f>SUMIFS(Tasks!$H:$H, Tasks!$C:$C, S$1, Tasks!$B:$B, $H$1)*(1-(1/13)*$H10)</f>
        <v>11.999999999999998</v>
      </c>
      <c r="T10" s="80">
        <f>T9-SUMIFS(Task_hours!$H:$H, Task_hours!$E:$E, $G10, Task_hours!$C:$C, S$1, Task_hours!$B:$B, $H$1)</f>
        <v>18</v>
      </c>
    </row>
    <row r="11" spans="1:20">
      <c r="A11" s="14"/>
      <c r="B11" s="14" t="s">
        <v>339</v>
      </c>
      <c r="C11" s="96">
        <v>2</v>
      </c>
      <c r="D11" s="113">
        <v>2</v>
      </c>
      <c r="G11" s="102">
        <v>45042</v>
      </c>
      <c r="H11" s="103">
        <v>8</v>
      </c>
      <c r="I11" s="104">
        <f>SUMIFS(Tasks!$H:$H, Tasks!$B:$B, $H$1)*(1-(1/13)*$H11)</f>
        <v>45.192307692307686</v>
      </c>
      <c r="J11" s="81">
        <f>J10-SUMIFS(Task_hours!$H:$H, Task_hours!$E:$E, $G11, Task_hours!$B:$B, $H$1)</f>
        <v>68</v>
      </c>
      <c r="K11" s="104">
        <f>SUMIFS(Tasks!$H:$H, Tasks!$C:$C, K$1, Tasks!$B:$B, $H$1)*(1-(1/13)*$H11)</f>
        <v>15.384615384615383</v>
      </c>
      <c r="L11" s="14">
        <f>L10-SUMIFS(Task_hours!$H:$H, Task_hours!$E:$E, $G11, Task_hours!$C:$C, K$1, Task_hours!$B:$B, $H$1)</f>
        <v>28.5</v>
      </c>
      <c r="M11" s="104">
        <f>SUMIFS(Tasks!$H:$H, Tasks!$C:$C, M$1, Tasks!$B:$B, $H$1)*(1-(1/13)*$H11)</f>
        <v>3.8461538461538458</v>
      </c>
      <c r="N11" s="14">
        <f>N10-SUMIFS(Task_hours!$H:$H, Task_hours!$E:$E, $G11, Task_hours!$C:$C, M$1, Task_hours!$B:$B, $H$1)</f>
        <v>5.5</v>
      </c>
      <c r="O11" s="104">
        <f>SUMIFS(Tasks!$H:$H, Tasks!$C:$C, O$1, Tasks!$B:$B, $H$1)*(1-(1/13)*$H11)</f>
        <v>4.8076923076923075</v>
      </c>
      <c r="P11" s="14">
        <f>P10-SUMIFS(Task_hours!$H:$H, Task_hours!$E:$E, $G11, Task_hours!$C:$C, O$1, Task_hours!$B:$B, $H$1)</f>
        <v>3</v>
      </c>
      <c r="Q11" s="104">
        <f>SUMIFS(Tasks!$H:$H, Tasks!$C:$C, Q$1, Tasks!$B:$B, $H$1)*(1-(1/13)*$H11)</f>
        <v>11.153846153846153</v>
      </c>
      <c r="R11" s="14">
        <f>R10-SUMIFS(Task_hours!$H:$H, Task_hours!$E:$E, $G11, Task_hours!$C:$C, Q$1, Task_hours!$B:$B, $H$1)</f>
        <v>18</v>
      </c>
      <c r="S11" s="104">
        <f>SUMIFS(Tasks!$H:$H, Tasks!$C:$C, S$1, Tasks!$B:$B, $H$1)*(1-(1/13)*$H11)</f>
        <v>10</v>
      </c>
      <c r="T11" s="80">
        <f>T10-SUMIFS(Task_hours!$H:$H, Task_hours!$E:$E, $G11, Task_hours!$C:$C, S$1, Task_hours!$B:$B, $H$1)</f>
        <v>13</v>
      </c>
    </row>
    <row r="12" spans="1:20">
      <c r="A12" s="14"/>
      <c r="B12" s="14" t="s">
        <v>344</v>
      </c>
      <c r="C12" s="113">
        <v>3</v>
      </c>
      <c r="D12" s="113">
        <v>4.5</v>
      </c>
      <c r="G12" s="102">
        <v>45043</v>
      </c>
      <c r="H12" s="103">
        <v>9</v>
      </c>
      <c r="I12" s="104">
        <f>SUMIFS(Tasks!$H:$H, Tasks!$B:$B, $H$1)*(1-(1/13)*$H12)</f>
        <v>36.153846153846153</v>
      </c>
      <c r="J12" s="81">
        <f>J11-SUMIFS(Task_hours!$H:$H, Task_hours!$E:$E, $G12, Task_hours!$B:$B, $H$1)</f>
        <v>59</v>
      </c>
      <c r="K12" s="104">
        <f>SUMIFS(Tasks!$H:$H, Tasks!$C:$C, K$1, Tasks!$B:$B, $H$1)*(1-(1/13)*$H12)</f>
        <v>12.307692307692308</v>
      </c>
      <c r="L12" s="14">
        <f>L11-SUMIFS(Task_hours!$H:$H, Task_hours!$E:$E, $G12, Task_hours!$C:$C, K$1, Task_hours!$B:$B, $H$1)</f>
        <v>25.5</v>
      </c>
      <c r="M12" s="104">
        <f>SUMIFS(Tasks!$H:$H, Tasks!$C:$C, M$1, Tasks!$B:$B, $H$1)*(1-(1/13)*$H12)</f>
        <v>3.0769230769230771</v>
      </c>
      <c r="N12" s="14">
        <f>N11-SUMIFS(Task_hours!$H:$H, Task_hours!$E:$E, $G12, Task_hours!$C:$C, M$1, Task_hours!$B:$B, $H$1)</f>
        <v>5.5</v>
      </c>
      <c r="O12" s="104">
        <f>SUMIFS(Tasks!$H:$H, Tasks!$C:$C, O$1, Tasks!$B:$B, $H$1)*(1-(1/13)*$H12)</f>
        <v>3.8461538461538463</v>
      </c>
      <c r="P12" s="14">
        <f>P11-SUMIFS(Task_hours!$H:$H, Task_hours!$E:$E, $G12, Task_hours!$C:$C, O$1, Task_hours!$B:$B, $H$1)</f>
        <v>3</v>
      </c>
      <c r="Q12" s="104">
        <f>SUMIFS(Tasks!$H:$H, Tasks!$C:$C, Q$1, Tasks!$B:$B, $H$1)*(1-(1/13)*$H12)</f>
        <v>8.9230769230769234</v>
      </c>
      <c r="R12" s="14">
        <f>R11-SUMIFS(Task_hours!$H:$H, Task_hours!$E:$E, $G12, Task_hours!$C:$C, Q$1, Task_hours!$B:$B, $H$1)</f>
        <v>13</v>
      </c>
      <c r="S12" s="104">
        <f>SUMIFS(Tasks!$H:$H, Tasks!$C:$C, S$1, Tasks!$B:$B, $H$1)*(1-(1/13)*$H12)</f>
        <v>8</v>
      </c>
      <c r="T12" s="80">
        <f>T11-SUMIFS(Task_hours!$H:$H, Task_hours!$E:$E, $G12, Task_hours!$C:$C, S$1, Task_hours!$B:$B, $H$1)</f>
        <v>12</v>
      </c>
    </row>
    <row r="13" spans="1:20">
      <c r="A13" s="14"/>
      <c r="B13" s="14" t="s">
        <v>345</v>
      </c>
      <c r="C13" s="113">
        <v>2</v>
      </c>
      <c r="D13" s="113">
        <v>2</v>
      </c>
      <c r="G13" s="102">
        <v>45044</v>
      </c>
      <c r="H13" s="103">
        <v>10</v>
      </c>
      <c r="I13" s="104">
        <f>SUMIFS(Tasks!$H:$H, Tasks!$B:$B, $H$1)*(1-(1/13)*$H13)</f>
        <v>27.11538461538461</v>
      </c>
      <c r="J13" s="81">
        <f>J12-SUMIFS(Task_hours!$H:$H, Task_hours!$E:$E, $G13, Task_hours!$B:$B, $H$1)</f>
        <v>36.5</v>
      </c>
      <c r="K13" s="104">
        <f>SUMIFS(Tasks!$H:$H, Tasks!$C:$C, K$1, Tasks!$B:$B, $H$1)*(1-(1/13)*$H13)</f>
        <v>9.2307692307692299</v>
      </c>
      <c r="L13" s="14">
        <f>L12-SUMIFS(Task_hours!$H:$H, Task_hours!$E:$E, $G13, Task_hours!$C:$C, K$1, Task_hours!$B:$B, $H$1)</f>
        <v>14.5</v>
      </c>
      <c r="M13" s="104">
        <f>SUMIFS(Tasks!$H:$H, Tasks!$C:$C, M$1, Tasks!$B:$B, $H$1)*(1-(1/13)*$H13)</f>
        <v>2.3076923076923075</v>
      </c>
      <c r="N13" s="14">
        <f>N12-SUMIFS(Task_hours!$H:$H, Task_hours!$E:$E, $G13, Task_hours!$C:$C, M$1, Task_hours!$B:$B, $H$1)</f>
        <v>5.5</v>
      </c>
      <c r="O13" s="104">
        <f>SUMIFS(Tasks!$H:$H, Tasks!$C:$C, O$1, Tasks!$B:$B, $H$1)*(1-(1/13)*$H13)</f>
        <v>2.8846153846153841</v>
      </c>
      <c r="P13" s="14">
        <f>P12-SUMIFS(Task_hours!$H:$H, Task_hours!$E:$E, $G13, Task_hours!$C:$C, O$1, Task_hours!$B:$B, $H$1)</f>
        <v>0</v>
      </c>
      <c r="Q13" s="104">
        <f>SUMIFS(Tasks!$H:$H, Tasks!$C:$C, Q$1, Tasks!$B:$B, $H$1)*(1-(1/13)*$H13)</f>
        <v>6.6923076923076907</v>
      </c>
      <c r="R13" s="14">
        <f>R12-SUMIFS(Task_hours!$H:$H, Task_hours!$E:$E, $G13, Task_hours!$C:$C, Q$1, Task_hours!$B:$B, $H$1)</f>
        <v>4.5</v>
      </c>
      <c r="S13" s="104">
        <f>SUMIFS(Tasks!$H:$H, Tasks!$C:$C, S$1, Tasks!$B:$B, $H$1)*(1-(1/13)*$H13)</f>
        <v>5.9999999999999991</v>
      </c>
      <c r="T13" s="80">
        <f>T12-SUMIFS(Task_hours!$H:$H, Task_hours!$E:$E, $G13, Task_hours!$C:$C, S$1, Task_hours!$B:$B, $H$1)</f>
        <v>12</v>
      </c>
    </row>
    <row r="14" spans="1:20">
      <c r="A14" s="14"/>
      <c r="B14" s="14" t="s">
        <v>342</v>
      </c>
      <c r="C14" s="113">
        <v>3</v>
      </c>
      <c r="D14" s="113">
        <v>3</v>
      </c>
      <c r="G14" s="102">
        <v>45045</v>
      </c>
      <c r="H14" s="103">
        <v>11</v>
      </c>
      <c r="I14" s="104">
        <f>SUMIFS(Tasks!$H:$H, Tasks!$B:$B, $H$1)*(1-(1/13)*$H14)</f>
        <v>18.076923076923066</v>
      </c>
      <c r="J14" s="81">
        <f>J13-SUMIFS(Task_hours!$H:$H, Task_hours!$E:$E, $G14, Task_hours!$B:$B, $H$1)</f>
        <v>30</v>
      </c>
      <c r="K14" s="104">
        <f>SUMIFS(Tasks!$H:$H, Tasks!$C:$C, K$1, Tasks!$B:$B, $H$1)*(1-(1/13)*$H14)</f>
        <v>6.1538461538461497</v>
      </c>
      <c r="L14" s="14">
        <f>L13-SUMIFS(Task_hours!$H:$H, Task_hours!$E:$E, $G14, Task_hours!$C:$C, K$1, Task_hours!$B:$B, $H$1)</f>
        <v>10</v>
      </c>
      <c r="M14" s="104">
        <f>SUMIFS(Tasks!$H:$H, Tasks!$C:$C, M$1, Tasks!$B:$B, $H$1)*(1-(1/13)*$H14)</f>
        <v>1.5384615384615374</v>
      </c>
      <c r="N14" s="14">
        <f>N13-SUMIFS(Task_hours!$H:$H, Task_hours!$E:$E, $G14, Task_hours!$C:$C, M$1, Task_hours!$B:$B, $H$1)</f>
        <v>3.5</v>
      </c>
      <c r="O14" s="104">
        <f>SUMIFS(Tasks!$H:$H, Tasks!$C:$C, O$1, Tasks!$B:$B, $H$1)*(1-(1/13)*$H14)</f>
        <v>1.9230769230769218</v>
      </c>
      <c r="P14" s="14">
        <f>P13-SUMIFS(Task_hours!$H:$H, Task_hours!$E:$E, $G14, Task_hours!$C:$C, O$1, Task_hours!$B:$B, $H$1)</f>
        <v>0</v>
      </c>
      <c r="Q14" s="104">
        <f>SUMIFS(Tasks!$H:$H, Tasks!$C:$C, Q$1, Tasks!$B:$B, $H$1)*(1-(1/13)*$H14)</f>
        <v>4.4615384615384581</v>
      </c>
      <c r="R14" s="14">
        <f>R13-SUMIFS(Task_hours!$H:$H, Task_hours!$E:$E, $G14, Task_hours!$C:$C, Q$1, Task_hours!$B:$B, $H$1)</f>
        <v>4.5</v>
      </c>
      <c r="S14" s="104">
        <f>SUMIFS(Tasks!$H:$H, Tasks!$C:$C, S$1, Tasks!$B:$B, $H$1)*(1-(1/13)*$H14)</f>
        <v>3.9999999999999973</v>
      </c>
      <c r="T14" s="80">
        <f>T13-SUMIFS(Task_hours!$H:$H, Task_hours!$E:$E, $G14, Task_hours!$C:$C, S$1, Task_hours!$B:$B, $H$1)</f>
        <v>12</v>
      </c>
    </row>
    <row r="15" spans="1:20">
      <c r="A15" s="14"/>
      <c r="B15" s="14" t="s">
        <v>343</v>
      </c>
      <c r="C15" s="113">
        <v>3</v>
      </c>
      <c r="D15" s="113">
        <v>1</v>
      </c>
      <c r="G15" s="102">
        <v>45046</v>
      </c>
      <c r="H15" s="103">
        <v>12</v>
      </c>
      <c r="I15" s="104">
        <f>SUMIFS(Tasks!$H:$H, Tasks!$B:$B, $H$1)*(1-(1/13)*$H15)</f>
        <v>9.038461538461533</v>
      </c>
      <c r="J15" s="81">
        <f>J14-SUMIFS(Task_hours!$H:$H, Task_hours!$E:$E, $G15, Task_hours!$B:$B, $H$1)</f>
        <v>17.5</v>
      </c>
      <c r="K15" s="104">
        <f>SUMIFS(Tasks!$H:$H, Tasks!$C:$C, K$1, Tasks!$B:$B, $H$1)*(1-(1/13)*$H15)</f>
        <v>3.0769230769230749</v>
      </c>
      <c r="L15" s="14">
        <f>L14-SUMIFS(Task_hours!$H:$H, Task_hours!$E:$E, $G15, Task_hours!$C:$C, K$1, Task_hours!$B:$B, $H$1)</f>
        <v>2</v>
      </c>
      <c r="M15" s="104">
        <f>SUMIFS(Tasks!$H:$H, Tasks!$C:$C, M$1, Tasks!$B:$B, $H$1)*(1-(1/13)*$H15)</f>
        <v>0.76923076923076872</v>
      </c>
      <c r="N15" s="14">
        <f>N14-SUMIFS(Task_hours!$H:$H, Task_hours!$E:$E, $G15, Task_hours!$C:$C, M$1, Task_hours!$B:$B, $H$1)</f>
        <v>1.5</v>
      </c>
      <c r="O15" s="104">
        <f>SUMIFS(Tasks!$H:$H, Tasks!$C:$C, O$1, Tasks!$B:$B, $H$1)*(1-(1/13)*$H15)</f>
        <v>0.9615384615384609</v>
      </c>
      <c r="P15" s="14">
        <f>P14-SUMIFS(Task_hours!$H:$H, Task_hours!$E:$E, $G15, Task_hours!$C:$C, O$1, Task_hours!$B:$B, $H$1)</f>
        <v>0</v>
      </c>
      <c r="Q15" s="104">
        <f>SUMIFS(Tasks!$H:$H, Tasks!$C:$C, Q$1, Tasks!$B:$B, $H$1)*(1-(1/13)*$H15)</f>
        <v>2.2307692307692291</v>
      </c>
      <c r="R15" s="14">
        <f>R14-SUMIFS(Task_hours!$H:$H, Task_hours!$E:$E, $G15, Task_hours!$C:$C, Q$1, Task_hours!$B:$B, $H$1)</f>
        <v>4.5</v>
      </c>
      <c r="S15" s="104">
        <f>SUMIFS(Tasks!$H:$H, Tasks!$C:$C, S$1, Tasks!$B:$B, $H$1)*(1-(1/13)*$H15)</f>
        <v>1.9999999999999987</v>
      </c>
      <c r="T15" s="80">
        <f>T14-SUMIFS(Task_hours!$H:$H, Task_hours!$E:$E, $G15, Task_hours!$C:$C, S$1, Task_hours!$B:$B, $H$1)</f>
        <v>9.5</v>
      </c>
    </row>
    <row r="16" spans="1:20">
      <c r="A16" s="14"/>
      <c r="B16" s="14" t="s">
        <v>337</v>
      </c>
      <c r="C16" s="113">
        <v>4</v>
      </c>
      <c r="D16" s="113">
        <v>3</v>
      </c>
      <c r="G16" s="107">
        <v>45047</v>
      </c>
      <c r="H16" s="108">
        <v>13</v>
      </c>
      <c r="I16" s="109">
        <f>SUMIFS(Tasks!$H:$H, Tasks!$B:$B, $H$1)*(1-(1/13)*$H16)</f>
        <v>0</v>
      </c>
      <c r="J16" s="114">
        <f>J15-SUMIFS(Task_hours!$H:$H, Task_hours!$E:$E, $G16, Task_hours!$B:$B, $H$1)</f>
        <v>2.5</v>
      </c>
      <c r="K16" s="109">
        <f>SUMIFS(Tasks!$H:$H, Tasks!$C:$C, K$1, Tasks!$B:$B, $H$1)*(1-(1/13)*$H16)</f>
        <v>0</v>
      </c>
      <c r="L16" s="115">
        <f>L15-SUMIFS(Task_hours!$H:$H, Task_hours!$E:$E, $G16, Task_hours!$C:$C, K$1, Task_hours!$B:$B, $H$1)</f>
        <v>0</v>
      </c>
      <c r="M16" s="109">
        <f>SUMIFS(Tasks!$H:$H, Tasks!$C:$C, M$1, Tasks!$B:$B, $H$1)*(1-(1/13)*$H16)</f>
        <v>0</v>
      </c>
      <c r="N16" s="115">
        <f>N15-SUMIFS(Task_hours!$H:$H, Task_hours!$E:$E, $G16, Task_hours!$C:$C, M$1, Task_hours!$B:$B, $H$1)</f>
        <v>0</v>
      </c>
      <c r="O16" s="109">
        <f>SUMIFS(Tasks!$H:$H, Tasks!$C:$C, O$1, Tasks!$B:$B, $H$1)*(1-(1/13)*$H16)</f>
        <v>0</v>
      </c>
      <c r="P16" s="115">
        <f>P15-SUMIFS(Task_hours!$H:$H, Task_hours!$E:$E, $G16, Task_hours!$C:$C, O$1, Task_hours!$B:$B, $H$1)</f>
        <v>0</v>
      </c>
      <c r="Q16" s="109">
        <f>SUMIFS(Tasks!$H:$H, Tasks!$C:$C, Q$1, Tasks!$B:$B, $H$1)*(1-(1/13)*$H16)</f>
        <v>0</v>
      </c>
      <c r="R16" s="115">
        <f>R15-SUMIFS(Task_hours!$H:$H, Task_hours!$E:$E, $G16, Task_hours!$C:$C, Q$1, Task_hours!$B:$B, $H$1)</f>
        <v>2.5</v>
      </c>
      <c r="S16" s="109">
        <f>SUMIFS(Tasks!$H:$H, Tasks!$C:$C, S$1, Tasks!$B:$B, $H$1)*(1-(1/13)*$H16)</f>
        <v>0</v>
      </c>
      <c r="T16" s="116">
        <f>T15-SUMIFS(Task_hours!$H:$H, Task_hours!$E:$E, $G16, Task_hours!$C:$C, S$1, Task_hours!$B:$B, $H$1)</f>
        <v>0</v>
      </c>
    </row>
    <row r="17" spans="1:8">
      <c r="A17" s="14" t="s">
        <v>495</v>
      </c>
      <c r="B17" s="14"/>
      <c r="C17" s="113">
        <v>40</v>
      </c>
      <c r="D17" s="113">
        <v>43</v>
      </c>
    </row>
    <row r="18" spans="1:8">
      <c r="A18" s="95" t="s">
        <v>350</v>
      </c>
      <c r="B18" s="14" t="s">
        <v>353</v>
      </c>
      <c r="C18" s="113">
        <v>1</v>
      </c>
      <c r="D18" s="113">
        <v>1</v>
      </c>
      <c r="H18" s="112"/>
    </row>
    <row r="19" spans="1:8">
      <c r="A19" s="14"/>
      <c r="B19" s="14" t="s">
        <v>352</v>
      </c>
      <c r="C19" s="113">
        <v>6</v>
      </c>
      <c r="D19" s="113">
        <v>5.5</v>
      </c>
      <c r="H19" s="112"/>
    </row>
    <row r="20" spans="1:8">
      <c r="A20" s="14"/>
      <c r="B20" s="14" t="s">
        <v>351</v>
      </c>
      <c r="C20" s="113">
        <v>3</v>
      </c>
      <c r="D20" s="113">
        <v>2</v>
      </c>
      <c r="H20" s="112"/>
    </row>
    <row r="21" spans="1:8">
      <c r="A21" s="14" t="s">
        <v>496</v>
      </c>
      <c r="B21" s="14"/>
      <c r="C21" s="113">
        <v>10</v>
      </c>
      <c r="D21" s="113">
        <v>8.5</v>
      </c>
      <c r="H21" s="112"/>
    </row>
    <row r="22" spans="1:8">
      <c r="A22" s="95" t="s">
        <v>354</v>
      </c>
      <c r="B22" s="14" t="s">
        <v>355</v>
      </c>
      <c r="C22" s="113">
        <v>3</v>
      </c>
      <c r="D22" s="113">
        <v>0.5</v>
      </c>
      <c r="H22" s="112"/>
    </row>
    <row r="23" spans="1:8">
      <c r="A23" s="14"/>
      <c r="B23" s="14" t="s">
        <v>356</v>
      </c>
      <c r="C23" s="113">
        <v>5</v>
      </c>
      <c r="D23" s="113">
        <v>2</v>
      </c>
      <c r="H23" s="112"/>
    </row>
    <row r="24" spans="1:8">
      <c r="A24" s="14"/>
      <c r="B24" s="14" t="s">
        <v>359</v>
      </c>
      <c r="C24" s="113">
        <v>0.5</v>
      </c>
      <c r="D24" s="113">
        <v>0.5</v>
      </c>
      <c r="H24" s="112"/>
    </row>
    <row r="25" spans="1:8">
      <c r="A25" s="14"/>
      <c r="B25" s="14" t="s">
        <v>358</v>
      </c>
      <c r="C25" s="113">
        <v>2</v>
      </c>
      <c r="D25" s="113">
        <v>3</v>
      </c>
    </row>
    <row r="26" spans="1:8">
      <c r="A26" s="14"/>
      <c r="B26" s="14" t="s">
        <v>357</v>
      </c>
      <c r="C26" s="113">
        <v>2</v>
      </c>
      <c r="D26" s="113">
        <v>1</v>
      </c>
    </row>
    <row r="27" spans="1:8">
      <c r="A27" s="14" t="s">
        <v>497</v>
      </c>
      <c r="B27" s="14"/>
      <c r="C27" s="113">
        <v>12.5</v>
      </c>
      <c r="D27" s="113">
        <v>7</v>
      </c>
    </row>
    <row r="28" spans="1:8">
      <c r="A28" s="95" t="s">
        <v>360</v>
      </c>
      <c r="B28" s="14" t="s">
        <v>363</v>
      </c>
      <c r="C28" s="113">
        <v>5</v>
      </c>
      <c r="D28" s="113">
        <v>2</v>
      </c>
    </row>
    <row r="29" spans="1:8">
      <c r="A29" s="14"/>
      <c r="B29" s="14" t="s">
        <v>362</v>
      </c>
      <c r="C29" s="113">
        <v>5</v>
      </c>
      <c r="D29" s="113">
        <v>1</v>
      </c>
    </row>
    <row r="30" spans="1:8">
      <c r="A30" s="14"/>
      <c r="B30" s="14" t="s">
        <v>366</v>
      </c>
      <c r="C30" s="113">
        <v>3</v>
      </c>
      <c r="D30" s="113">
        <v>3</v>
      </c>
    </row>
    <row r="31" spans="1:8">
      <c r="A31" s="14"/>
      <c r="B31" s="14" t="s">
        <v>361</v>
      </c>
      <c r="C31" s="96">
        <v>1.5</v>
      </c>
      <c r="D31" s="113">
        <v>1</v>
      </c>
    </row>
    <row r="32" spans="1:8">
      <c r="A32" s="14"/>
      <c r="B32" s="14" t="s">
        <v>369</v>
      </c>
      <c r="C32" s="96">
        <v>3</v>
      </c>
      <c r="D32" s="113">
        <v>5</v>
      </c>
    </row>
    <row r="33" spans="1:4">
      <c r="A33" s="14"/>
      <c r="B33" s="14" t="s">
        <v>367</v>
      </c>
      <c r="C33" s="96">
        <v>3</v>
      </c>
      <c r="D33" s="113">
        <v>3</v>
      </c>
    </row>
    <row r="34" spans="1:4">
      <c r="A34" s="14"/>
      <c r="B34" s="14" t="s">
        <v>368</v>
      </c>
      <c r="C34" s="96">
        <v>2</v>
      </c>
      <c r="D34" s="113">
        <v>1.5</v>
      </c>
    </row>
    <row r="35" spans="1:4">
      <c r="A35" s="14"/>
      <c r="B35" s="14" t="s">
        <v>364</v>
      </c>
      <c r="C35" s="113">
        <v>2</v>
      </c>
      <c r="D35" s="113">
        <v>1.5</v>
      </c>
    </row>
    <row r="36" spans="1:4">
      <c r="A36" s="14"/>
      <c r="B36" s="14" t="s">
        <v>365</v>
      </c>
      <c r="C36" s="113">
        <v>3</v>
      </c>
      <c r="D36" s="113">
        <v>2.5</v>
      </c>
    </row>
    <row r="37" spans="1:4">
      <c r="A37" s="14"/>
      <c r="B37" s="14" t="s">
        <v>384</v>
      </c>
      <c r="C37" s="96">
        <v>1.5</v>
      </c>
      <c r="D37" s="113">
        <v>2</v>
      </c>
    </row>
    <row r="38" spans="1:4">
      <c r="A38" s="14" t="s">
        <v>498</v>
      </c>
      <c r="B38" s="14"/>
      <c r="C38" s="96">
        <v>29</v>
      </c>
      <c r="D38" s="113">
        <v>22.5</v>
      </c>
    </row>
    <row r="39" spans="1:4">
      <c r="A39" s="95" t="s">
        <v>370</v>
      </c>
      <c r="B39" s="14" t="s">
        <v>383</v>
      </c>
      <c r="C39" s="96">
        <v>1</v>
      </c>
      <c r="D39" s="113">
        <v>1</v>
      </c>
    </row>
    <row r="40" spans="1:4">
      <c r="A40" s="14"/>
      <c r="B40" s="14" t="s">
        <v>376</v>
      </c>
      <c r="C40" s="96">
        <v>2</v>
      </c>
      <c r="D40" s="113">
        <v>2</v>
      </c>
    </row>
    <row r="41" spans="1:4">
      <c r="A41" s="14"/>
      <c r="B41" s="14" t="s">
        <v>377</v>
      </c>
      <c r="C41" s="96">
        <v>2</v>
      </c>
      <c r="D41" s="113">
        <v>2.5</v>
      </c>
    </row>
    <row r="42" spans="1:4">
      <c r="A42" s="14"/>
      <c r="B42" s="14" t="s">
        <v>374</v>
      </c>
      <c r="C42" s="113">
        <v>1</v>
      </c>
      <c r="D42" s="113">
        <v>0</v>
      </c>
    </row>
    <row r="43" spans="1:4">
      <c r="A43" s="14"/>
      <c r="B43" s="14" t="s">
        <v>373</v>
      </c>
      <c r="C43" s="113">
        <v>4</v>
      </c>
      <c r="D43" s="113">
        <v>3</v>
      </c>
    </row>
    <row r="44" spans="1:4">
      <c r="A44" s="14"/>
      <c r="B44" s="14" t="s">
        <v>375</v>
      </c>
      <c r="C44" s="113">
        <v>3</v>
      </c>
      <c r="D44" s="113">
        <v>4</v>
      </c>
    </row>
    <row r="45" spans="1:4">
      <c r="A45" s="14"/>
      <c r="B45" s="14" t="s">
        <v>378</v>
      </c>
      <c r="C45" s="96">
        <v>2</v>
      </c>
      <c r="D45" s="113">
        <v>1.5</v>
      </c>
    </row>
    <row r="46" spans="1:4">
      <c r="A46" s="14"/>
      <c r="B46" s="14" t="s">
        <v>382</v>
      </c>
      <c r="C46" s="96">
        <v>2</v>
      </c>
      <c r="D46" s="113">
        <v>2</v>
      </c>
    </row>
    <row r="47" spans="1:4">
      <c r="A47" s="14"/>
      <c r="B47" s="14" t="s">
        <v>371</v>
      </c>
      <c r="C47" s="113">
        <v>2</v>
      </c>
      <c r="D47" s="113">
        <v>1.5</v>
      </c>
    </row>
    <row r="48" spans="1:4">
      <c r="A48" s="14"/>
      <c r="B48" s="14" t="s">
        <v>372</v>
      </c>
      <c r="C48" s="113">
        <v>3</v>
      </c>
      <c r="D48" s="113">
        <v>2.5</v>
      </c>
    </row>
    <row r="49" spans="1:4">
      <c r="A49" s="14"/>
      <c r="B49" s="14" t="s">
        <v>385</v>
      </c>
      <c r="C49" s="96">
        <v>1</v>
      </c>
      <c r="D49" s="113">
        <v>1</v>
      </c>
    </row>
    <row r="50" spans="1:4">
      <c r="A50" s="14"/>
      <c r="B50" s="14" t="s">
        <v>379</v>
      </c>
      <c r="C50" s="113">
        <v>3</v>
      </c>
      <c r="D50" s="113">
        <v>5</v>
      </c>
    </row>
    <row r="51" spans="1:4">
      <c r="A51" s="14" t="s">
        <v>499</v>
      </c>
      <c r="B51" s="14"/>
      <c r="C51" s="113">
        <v>26</v>
      </c>
      <c r="D51" s="113">
        <v>26</v>
      </c>
    </row>
    <row r="52" spans="1:4">
      <c r="A52" s="14" t="s">
        <v>483</v>
      </c>
      <c r="B52" s="14"/>
      <c r="C52" s="113">
        <v>117.5</v>
      </c>
      <c r="D52" s="113">
        <v>107</v>
      </c>
    </row>
  </sheetData>
  <mergeCells count="6">
    <mergeCell ref="S1:T1"/>
    <mergeCell ref="I1:J1"/>
    <mergeCell ref="K1:L1"/>
    <mergeCell ref="M1:N1"/>
    <mergeCell ref="O1:P1"/>
    <mergeCell ref="Q1:R1"/>
  </mergeCells>
  <pageMargins left="0" right="0" top="0" bottom="0" header="0" footer="0"/>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E67C73"/>
    <outlinePr summaryBelow="0" summaryRight="0"/>
  </sheetPr>
  <dimension ref="A1:T58"/>
  <sheetViews>
    <sheetView showGridLines="0" tabSelected="1" workbookViewId="0"/>
  </sheetViews>
  <sheetFormatPr defaultColWidth="12.5546875" defaultRowHeight="15.75" customHeight="1"/>
  <cols>
    <col min="1" max="1" width="6.88671875" customWidth="1"/>
    <col min="2" max="2" width="71.44140625" customWidth="1"/>
    <col min="3" max="3" width="15.6640625" customWidth="1"/>
    <col min="4" max="4" width="12.44140625" customWidth="1"/>
    <col min="7" max="7" width="11.33203125" customWidth="1"/>
    <col min="8" max="8" width="4" customWidth="1"/>
    <col min="9" max="9" width="6.6640625" customWidth="1"/>
    <col min="10" max="10" width="6.33203125" customWidth="1"/>
    <col min="11" max="19" width="4.6640625" customWidth="1"/>
    <col min="20" max="20" width="4.88671875" customWidth="1"/>
  </cols>
  <sheetData>
    <row r="1" spans="1:20">
      <c r="A1" s="14"/>
      <c r="B1" s="14"/>
      <c r="C1" s="14" t="s">
        <v>476</v>
      </c>
      <c r="D1" s="14" t="s">
        <v>476</v>
      </c>
      <c r="G1" s="93" t="s">
        <v>7</v>
      </c>
      <c r="H1" s="94">
        <v>4</v>
      </c>
      <c r="I1" s="135" t="s">
        <v>12</v>
      </c>
      <c r="J1" s="136"/>
      <c r="K1" s="135" t="s">
        <v>403</v>
      </c>
      <c r="L1" s="129"/>
      <c r="M1" s="135" t="s">
        <v>407</v>
      </c>
      <c r="N1" s="129"/>
      <c r="O1" s="135" t="s">
        <v>386</v>
      </c>
      <c r="P1" s="129"/>
      <c r="Q1" s="135" t="s">
        <v>399</v>
      </c>
      <c r="R1" s="129"/>
      <c r="S1" s="135" t="s">
        <v>411</v>
      </c>
      <c r="T1" s="127"/>
    </row>
    <row r="2" spans="1:20">
      <c r="A2" s="95" t="s">
        <v>386</v>
      </c>
      <c r="B2" s="14" t="s">
        <v>387</v>
      </c>
      <c r="C2" s="96">
        <v>3</v>
      </c>
      <c r="D2" s="113">
        <v>3.5</v>
      </c>
      <c r="G2" s="97" t="s">
        <v>477</v>
      </c>
      <c r="H2" s="98" t="s">
        <v>478</v>
      </c>
      <c r="I2" s="99" t="s">
        <v>479</v>
      </c>
      <c r="J2" s="100" t="s">
        <v>480</v>
      </c>
      <c r="K2" s="99" t="s">
        <v>479</v>
      </c>
      <c r="L2" s="99" t="s">
        <v>480</v>
      </c>
      <c r="M2" s="99" t="s">
        <v>479</v>
      </c>
      <c r="N2" s="99" t="s">
        <v>480</v>
      </c>
      <c r="O2" s="99" t="s">
        <v>479</v>
      </c>
      <c r="P2" s="99" t="s">
        <v>480</v>
      </c>
      <c r="Q2" s="99" t="s">
        <v>479</v>
      </c>
      <c r="R2" s="99" t="s">
        <v>480</v>
      </c>
      <c r="S2" s="99" t="s">
        <v>479</v>
      </c>
      <c r="T2" s="101" t="s">
        <v>480</v>
      </c>
    </row>
    <row r="3" spans="1:20">
      <c r="A3" s="14"/>
      <c r="B3" s="14" t="s">
        <v>389</v>
      </c>
      <c r="C3" s="96">
        <v>5</v>
      </c>
      <c r="D3" s="113">
        <v>5</v>
      </c>
      <c r="G3" s="102">
        <v>45048</v>
      </c>
      <c r="H3" s="103">
        <v>0</v>
      </c>
      <c r="I3" s="104">
        <f>SUMIFS(Tasks!$H:$H, Tasks!$B:$B, $H$1)*(1-(1/20)*$H3)</f>
        <v>128.5</v>
      </c>
      <c r="J3" s="81">
        <f>SUMIFS(Task_hours!$H:$H, Task_hours!$B:$B, $H$1)-SUMIFS(Task_hours!$H:$H, Task_hours!$E:$E, $G3, Task_hours!$B:$B, $H$1)</f>
        <v>138</v>
      </c>
      <c r="K3" s="104">
        <f>SUMIFS(Tasks!$H:$H, Tasks!$C:$C, K$1, Tasks!$B:$B, $H$1)*(1-(1/20)*$H3)</f>
        <v>15</v>
      </c>
      <c r="L3" s="14">
        <f>SUMIFS(Task_hours!$H:$H, Task_hours!$C:$C, K$1, Task_hours!$B:$B, $H$1)-SUMIFS(Task_hours!$H:$H, Task_hours!$E:$E, $G3, Task_hours!$C:$C, K$1, Task_hours!$B:$B, $H$1)</f>
        <v>16</v>
      </c>
      <c r="M3" s="104">
        <f>SUMIFS(Tasks!$H:$H, Tasks!$C:$C, M$1, Tasks!$B:$B, $H$1)*(1-(1/20)*$H3)</f>
        <v>17</v>
      </c>
      <c r="N3" s="14">
        <f>SUMIFS(Task_hours!$H:$H, Task_hours!$C:$C, M$1, Task_hours!$B:$B, $H$1)-SUMIFS(Task_hours!$H:$H, Task_hours!$E:$E, $G3, Task_hours!$C:$C, M$1, Task_hours!$B:$B, $H$1)</f>
        <v>37</v>
      </c>
      <c r="O3" s="104">
        <f>SUMIFS(Tasks!$H:$H, Tasks!$C:$C, O$1, Tasks!$B:$B, $H$1)*(1-(1/20)*$H3)</f>
        <v>27</v>
      </c>
      <c r="P3" s="14">
        <f>SUMIFS(Task_hours!$H:$H, Task_hours!$C:$C, O$1, Task_hours!$B:$B, $H$1)-SUMIFS(Task_hours!$H:$H, Task_hours!$E:$E, $G3, Task_hours!$C:$C, O$1, Task_hours!$B:$B, $H$1)</f>
        <v>18.5</v>
      </c>
      <c r="Q3" s="104">
        <f>SUMIFS(Tasks!$H:$H, Tasks!$C:$C, Q$1, Tasks!$B:$B, $H$1)*(1-(1/20)*$H3)</f>
        <v>2.5</v>
      </c>
      <c r="R3" s="14">
        <f>SUMIFS(Task_hours!$H:$H, Task_hours!$C:$C, Q$1, Task_hours!$B:$B, $H$1)-SUMIFS(Task_hours!$H:$H, Task_hours!$E:$E, $G3, Task_hours!$C:$C, Q$1, Task_hours!$B:$B, $H$1)</f>
        <v>3</v>
      </c>
      <c r="S3" s="104">
        <f>SUMIFS(Tasks!$H:$H, Tasks!$C:$C, S$1, Tasks!$B:$B, $H$1)*(1-(1/20)*$H3)</f>
        <v>67</v>
      </c>
      <c r="T3" s="80">
        <f>SUMIFS(Task_hours!$H:$H, Task_hours!$C:$C, S$1, Task_hours!$B:$B, $H$1)-SUMIFS(Task_hours!$H:$H, Task_hours!$E:$E, $G3, Task_hours!$C:$C, S$1, Task_hours!$B:$B, $H$1)</f>
        <v>63.5</v>
      </c>
    </row>
    <row r="4" spans="1:20">
      <c r="A4" s="14"/>
      <c r="B4" s="14" t="s">
        <v>388</v>
      </c>
      <c r="C4" s="96">
        <v>6</v>
      </c>
      <c r="D4" s="113">
        <v>5</v>
      </c>
      <c r="G4" s="102">
        <v>45049</v>
      </c>
      <c r="H4" s="103">
        <v>1</v>
      </c>
      <c r="I4" s="104">
        <f>SUMIFS(Tasks!$H:$H, Tasks!$B:$B, $H$1)*(1-(1/20)*$H4)</f>
        <v>122.07499999999999</v>
      </c>
      <c r="J4" s="81">
        <f>J3-SUMIFS(Task_hours!$H:$H, Task_hours!$E:$E, $G4, Task_hours!$B:$B, $H$1)</f>
        <v>138</v>
      </c>
      <c r="K4" s="104">
        <f>SUMIFS(Tasks!$H:$H, Tasks!$C:$C, K$1, Tasks!$B:$B, $H$1)*(1-(1/20)*$H4)</f>
        <v>14.25</v>
      </c>
      <c r="L4" s="14">
        <f>L3-SUMIFS(Task_hours!$H:$H, Task_hours!$E:$E, $G4, Task_hours!$C:$C, K$1, Task_hours!$B:$B, $H$1)</f>
        <v>16</v>
      </c>
      <c r="M4" s="104">
        <f>SUMIFS(Tasks!$H:$H, Tasks!$C:$C, M$1, Tasks!$B:$B, $H$1)*(1-(1/20)*$H4)</f>
        <v>16.149999999999999</v>
      </c>
      <c r="N4" s="14">
        <f>N3-SUMIFS(Task_hours!$H:$H, Task_hours!$E:$E, $G4, Task_hours!$C:$C, M$1, Task_hours!$B:$B, $H$1)</f>
        <v>37</v>
      </c>
      <c r="O4" s="104">
        <f>SUMIFS(Tasks!$H:$H, Tasks!$C:$C, O$1, Tasks!$B:$B, $H$1)*(1-(1/20)*$H4)</f>
        <v>25.65</v>
      </c>
      <c r="P4" s="14">
        <f>P3-SUMIFS(Task_hours!$H:$H, Task_hours!$E:$E, $G4, Task_hours!$C:$C, O$1, Task_hours!$B:$B, $H$1)</f>
        <v>18.5</v>
      </c>
      <c r="Q4" s="104">
        <f>SUMIFS(Tasks!$H:$H, Tasks!$C:$C, Q$1, Tasks!$B:$B, $H$1)*(1-(1/20)*$H4)</f>
        <v>2.375</v>
      </c>
      <c r="R4" s="14">
        <f>R3-SUMIFS(Task_hours!$H:$H, Task_hours!$E:$E, $G4, Task_hours!$C:$C, Q$1, Task_hours!$B:$B, $H$1)</f>
        <v>3</v>
      </c>
      <c r="S4" s="104">
        <f>SUMIFS(Tasks!$H:$H, Tasks!$C:$C, S$1, Tasks!$B:$B, $H$1)*(1-(1/20)*$H4)</f>
        <v>63.65</v>
      </c>
      <c r="T4" s="80">
        <f>T3-SUMIFS(Task_hours!$H:$H, Task_hours!$E:$E, $G4, Task_hours!$C:$C, S$1, Task_hours!$B:$B, $H$1)</f>
        <v>63.5</v>
      </c>
    </row>
    <row r="5" spans="1:20">
      <c r="A5" s="14"/>
      <c r="B5" s="14" t="s">
        <v>390</v>
      </c>
      <c r="C5" s="96">
        <v>4</v>
      </c>
      <c r="D5" s="113">
        <v>1.5</v>
      </c>
      <c r="G5" s="102">
        <v>45050</v>
      </c>
      <c r="H5" s="103">
        <v>2</v>
      </c>
      <c r="I5" s="104">
        <f>SUMIFS(Tasks!$H:$H, Tasks!$B:$B, $H$1)*(1-(1/20)*$H5)</f>
        <v>115.65</v>
      </c>
      <c r="J5" s="81">
        <f>J4-SUMIFS(Task_hours!$H:$H, Task_hours!$E:$E, $G5, Task_hours!$B:$B, $H$1)</f>
        <v>138</v>
      </c>
      <c r="K5" s="104">
        <f>SUMIFS(Tasks!$H:$H, Tasks!$C:$C, K$1, Tasks!$B:$B, $H$1)*(1-(1/20)*$H5)</f>
        <v>13.5</v>
      </c>
      <c r="L5" s="14">
        <f>L4-SUMIFS(Task_hours!$H:$H, Task_hours!$E:$E, $G5, Task_hours!$C:$C, K$1, Task_hours!$B:$B, $H$1)</f>
        <v>16</v>
      </c>
      <c r="M5" s="104">
        <f>SUMIFS(Tasks!$H:$H, Tasks!$C:$C, M$1, Tasks!$B:$B, $H$1)*(1-(1/20)*$H5)</f>
        <v>15.3</v>
      </c>
      <c r="N5" s="14">
        <f>N4-SUMIFS(Task_hours!$H:$H, Task_hours!$E:$E, $G5, Task_hours!$C:$C, M$1, Task_hours!$B:$B, $H$1)</f>
        <v>37</v>
      </c>
      <c r="O5" s="104">
        <f>SUMIFS(Tasks!$H:$H, Tasks!$C:$C, O$1, Tasks!$B:$B, $H$1)*(1-(1/20)*$H5)</f>
        <v>24.3</v>
      </c>
      <c r="P5" s="14">
        <f>P4-SUMIFS(Task_hours!$H:$H, Task_hours!$E:$E, $G5, Task_hours!$C:$C, O$1, Task_hours!$B:$B, $H$1)</f>
        <v>18.5</v>
      </c>
      <c r="Q5" s="104">
        <f>SUMIFS(Tasks!$H:$H, Tasks!$C:$C, Q$1, Tasks!$B:$B, $H$1)*(1-(1/20)*$H5)</f>
        <v>2.25</v>
      </c>
      <c r="R5" s="14">
        <f>R4-SUMIFS(Task_hours!$H:$H, Task_hours!$E:$E, $G5, Task_hours!$C:$C, Q$1, Task_hours!$B:$B, $H$1)</f>
        <v>3</v>
      </c>
      <c r="S5" s="104">
        <f>SUMIFS(Tasks!$H:$H, Tasks!$C:$C, S$1, Tasks!$B:$B, $H$1)*(1-(1/20)*$H5)</f>
        <v>60.300000000000004</v>
      </c>
      <c r="T5" s="80">
        <f>T4-SUMIFS(Task_hours!$H:$H, Task_hours!$E:$E, $G5, Task_hours!$C:$C, S$1, Task_hours!$B:$B, $H$1)</f>
        <v>63.5</v>
      </c>
    </row>
    <row r="6" spans="1:20">
      <c r="A6" s="14"/>
      <c r="B6" s="14" t="s">
        <v>396</v>
      </c>
      <c r="C6" s="96">
        <v>0</v>
      </c>
      <c r="D6" s="113">
        <v>0</v>
      </c>
      <c r="G6" s="102">
        <v>45051</v>
      </c>
      <c r="H6" s="103">
        <v>3</v>
      </c>
      <c r="I6" s="104">
        <f>SUMIFS(Tasks!$H:$H, Tasks!$B:$B, $H$1)*(1-(1/20)*$H6)</f>
        <v>109.22499999999999</v>
      </c>
      <c r="J6" s="81">
        <f>J5-SUMIFS(Task_hours!$H:$H, Task_hours!$E:$E, $G6, Task_hours!$B:$B, $H$1)</f>
        <v>138</v>
      </c>
      <c r="K6" s="104">
        <f>SUMIFS(Tasks!$H:$H, Tasks!$C:$C, K$1, Tasks!$B:$B, $H$1)*(1-(1/20)*$H6)</f>
        <v>12.75</v>
      </c>
      <c r="L6" s="14">
        <f>L5-SUMIFS(Task_hours!$H:$H, Task_hours!$E:$E, $G6, Task_hours!$C:$C, K$1, Task_hours!$B:$B, $H$1)</f>
        <v>16</v>
      </c>
      <c r="M6" s="104">
        <f>SUMIFS(Tasks!$H:$H, Tasks!$C:$C, M$1, Tasks!$B:$B, $H$1)*(1-(1/20)*$H6)</f>
        <v>14.45</v>
      </c>
      <c r="N6" s="14">
        <f>N5-SUMIFS(Task_hours!$H:$H, Task_hours!$E:$E, $G6, Task_hours!$C:$C, M$1, Task_hours!$B:$B, $H$1)</f>
        <v>37</v>
      </c>
      <c r="O6" s="104">
        <f>SUMIFS(Tasks!$H:$H, Tasks!$C:$C, O$1, Tasks!$B:$B, $H$1)*(1-(1/20)*$H6)</f>
        <v>22.95</v>
      </c>
      <c r="P6" s="14">
        <f>P5-SUMIFS(Task_hours!$H:$H, Task_hours!$E:$E, $G6, Task_hours!$C:$C, O$1, Task_hours!$B:$B, $H$1)</f>
        <v>18.5</v>
      </c>
      <c r="Q6" s="104">
        <f>SUMIFS(Tasks!$H:$H, Tasks!$C:$C, Q$1, Tasks!$B:$B, $H$1)*(1-(1/20)*$H6)</f>
        <v>2.125</v>
      </c>
      <c r="R6" s="14">
        <f>R5-SUMIFS(Task_hours!$H:$H, Task_hours!$E:$E, $G6, Task_hours!$C:$C, Q$1, Task_hours!$B:$B, $H$1)</f>
        <v>3</v>
      </c>
      <c r="S6" s="104">
        <f>SUMIFS(Tasks!$H:$H, Tasks!$C:$C, S$1, Tasks!$B:$B, $H$1)*(1-(1/20)*$H6)</f>
        <v>56.949999999999996</v>
      </c>
      <c r="T6" s="80">
        <f>T5-SUMIFS(Task_hours!$H:$H, Task_hours!$E:$E, $G6, Task_hours!$C:$C, S$1, Task_hours!$B:$B, $H$1)</f>
        <v>63.5</v>
      </c>
    </row>
    <row r="7" spans="1:20">
      <c r="A7" s="14"/>
      <c r="B7" s="14" t="s">
        <v>393</v>
      </c>
      <c r="C7" s="96">
        <v>2</v>
      </c>
      <c r="D7" s="113">
        <v>0.5</v>
      </c>
      <c r="G7" s="102">
        <v>45052</v>
      </c>
      <c r="H7" s="103">
        <v>4</v>
      </c>
      <c r="I7" s="104">
        <f>SUMIFS(Tasks!$H:$H, Tasks!$B:$B, $H$1)*(1-(1/20)*$H7)</f>
        <v>102.80000000000001</v>
      </c>
      <c r="J7" s="81">
        <f>J6-SUMIFS(Task_hours!$H:$H, Task_hours!$E:$E, $G7, Task_hours!$B:$B, $H$1)</f>
        <v>135</v>
      </c>
      <c r="K7" s="104">
        <f>SUMIFS(Tasks!$H:$H, Tasks!$C:$C, K$1, Tasks!$B:$B, $H$1)*(1-(1/20)*$H7)</f>
        <v>12</v>
      </c>
      <c r="L7" s="14">
        <f>L6-SUMIFS(Task_hours!$H:$H, Task_hours!$E:$E, $G7, Task_hours!$C:$C, K$1, Task_hours!$B:$B, $H$1)</f>
        <v>16</v>
      </c>
      <c r="M7" s="104">
        <f>SUMIFS(Tasks!$H:$H, Tasks!$C:$C, M$1, Tasks!$B:$B, $H$1)*(1-(1/20)*$H7)</f>
        <v>13.600000000000001</v>
      </c>
      <c r="N7" s="14">
        <f>N6-SUMIFS(Task_hours!$H:$H, Task_hours!$E:$E, $G7, Task_hours!$C:$C, M$1, Task_hours!$B:$B, $H$1)</f>
        <v>37</v>
      </c>
      <c r="O7" s="104">
        <f>SUMIFS(Tasks!$H:$H, Tasks!$C:$C, O$1, Tasks!$B:$B, $H$1)*(1-(1/20)*$H7)</f>
        <v>21.6</v>
      </c>
      <c r="P7" s="14">
        <f>P6-SUMIFS(Task_hours!$H:$H, Task_hours!$E:$E, $G7, Task_hours!$C:$C, O$1, Task_hours!$B:$B, $H$1)</f>
        <v>16</v>
      </c>
      <c r="Q7" s="104">
        <f>SUMIFS(Tasks!$H:$H, Tasks!$C:$C, Q$1, Tasks!$B:$B, $H$1)*(1-(1/20)*$H7)</f>
        <v>2</v>
      </c>
      <c r="R7" s="14">
        <f>R6-SUMIFS(Task_hours!$H:$H, Task_hours!$E:$E, $G7, Task_hours!$C:$C, Q$1, Task_hours!$B:$B, $H$1)</f>
        <v>3</v>
      </c>
      <c r="S7" s="104">
        <f>SUMIFS(Tasks!$H:$H, Tasks!$C:$C, S$1, Tasks!$B:$B, $H$1)*(1-(1/20)*$H7)</f>
        <v>53.6</v>
      </c>
      <c r="T7" s="80">
        <f>T6-SUMIFS(Task_hours!$H:$H, Task_hours!$E:$E, $G7, Task_hours!$C:$C, S$1, Task_hours!$B:$B, $H$1)</f>
        <v>63</v>
      </c>
    </row>
    <row r="8" spans="1:20">
      <c r="A8" s="14"/>
      <c r="B8" s="14" t="s">
        <v>391</v>
      </c>
      <c r="C8" s="96">
        <v>3</v>
      </c>
      <c r="D8" s="113">
        <v>1.5</v>
      </c>
      <c r="G8" s="102">
        <v>45053</v>
      </c>
      <c r="H8" s="103">
        <v>5</v>
      </c>
      <c r="I8" s="104">
        <f>SUMIFS(Tasks!$H:$H, Tasks!$B:$B, $H$1)*(1-(1/20)*$H8)</f>
        <v>96.375</v>
      </c>
      <c r="J8" s="81">
        <f>J7-SUMIFS(Task_hours!$H:$H, Task_hours!$E:$E, $G8, Task_hours!$B:$B, $H$1)</f>
        <v>130</v>
      </c>
      <c r="K8" s="104">
        <f>SUMIFS(Tasks!$H:$H, Tasks!$C:$C, K$1, Tasks!$B:$B, $H$1)*(1-(1/20)*$H8)</f>
        <v>11.25</v>
      </c>
      <c r="L8" s="14">
        <f>L7-SUMIFS(Task_hours!$H:$H, Task_hours!$E:$E, $G8, Task_hours!$C:$C, K$1, Task_hours!$B:$B, $H$1)</f>
        <v>14</v>
      </c>
      <c r="M8" s="104">
        <f>SUMIFS(Tasks!$H:$H, Tasks!$C:$C, M$1, Tasks!$B:$B, $H$1)*(1-(1/20)*$H8)</f>
        <v>12.75</v>
      </c>
      <c r="N8" s="14">
        <f>N7-SUMIFS(Task_hours!$H:$H, Task_hours!$E:$E, $G8, Task_hours!$C:$C, M$1, Task_hours!$B:$B, $H$1)</f>
        <v>36</v>
      </c>
      <c r="O8" s="104">
        <f>SUMIFS(Tasks!$H:$H, Tasks!$C:$C, O$1, Tasks!$B:$B, $H$1)*(1-(1/20)*$H8)</f>
        <v>20.25</v>
      </c>
      <c r="P8" s="14">
        <f>P7-SUMIFS(Task_hours!$H:$H, Task_hours!$E:$E, $G8, Task_hours!$C:$C, O$1, Task_hours!$B:$B, $H$1)</f>
        <v>14</v>
      </c>
      <c r="Q8" s="104">
        <f>SUMIFS(Tasks!$H:$H, Tasks!$C:$C, Q$1, Tasks!$B:$B, $H$1)*(1-(1/20)*$H8)</f>
        <v>1.875</v>
      </c>
      <c r="R8" s="14">
        <f>R7-SUMIFS(Task_hours!$H:$H, Task_hours!$E:$E, $G8, Task_hours!$C:$C, Q$1, Task_hours!$B:$B, $H$1)</f>
        <v>3</v>
      </c>
      <c r="S8" s="104">
        <f>SUMIFS(Tasks!$H:$H, Tasks!$C:$C, S$1, Tasks!$B:$B, $H$1)*(1-(1/20)*$H8)</f>
        <v>50.25</v>
      </c>
      <c r="T8" s="80">
        <f>T7-SUMIFS(Task_hours!$H:$H, Task_hours!$E:$E, $G8, Task_hours!$C:$C, S$1, Task_hours!$B:$B, $H$1)</f>
        <v>63</v>
      </c>
    </row>
    <row r="9" spans="1:20">
      <c r="A9" s="14"/>
      <c r="B9" s="14" t="s">
        <v>392</v>
      </c>
      <c r="C9" s="96">
        <v>2</v>
      </c>
      <c r="D9" s="113">
        <v>0.5</v>
      </c>
      <c r="G9" s="102">
        <v>45054</v>
      </c>
      <c r="H9" s="103">
        <v>6</v>
      </c>
      <c r="I9" s="104">
        <f>SUMIFS(Tasks!$H:$H, Tasks!$B:$B, $H$1)*(1-(1/20)*$H9)</f>
        <v>89.949999999999989</v>
      </c>
      <c r="J9" s="81">
        <f>J8-SUMIFS(Task_hours!$H:$H, Task_hours!$E:$E, $G9, Task_hours!$B:$B, $H$1)</f>
        <v>119</v>
      </c>
      <c r="K9" s="104">
        <f>SUMIFS(Tasks!$H:$H, Tasks!$C:$C, K$1, Tasks!$B:$B, $H$1)*(1-(1/20)*$H9)</f>
        <v>10.5</v>
      </c>
      <c r="L9" s="14">
        <f>L8-SUMIFS(Task_hours!$H:$H, Task_hours!$E:$E, $G9, Task_hours!$C:$C, K$1, Task_hours!$B:$B, $H$1)</f>
        <v>12</v>
      </c>
      <c r="M9" s="104">
        <f>SUMIFS(Tasks!$H:$H, Tasks!$C:$C, M$1, Tasks!$B:$B, $H$1)*(1-(1/20)*$H9)</f>
        <v>11.899999999999999</v>
      </c>
      <c r="N9" s="14">
        <f>N8-SUMIFS(Task_hours!$H:$H, Task_hours!$E:$E, $G9, Task_hours!$C:$C, M$1, Task_hours!$B:$B, $H$1)</f>
        <v>28.5</v>
      </c>
      <c r="O9" s="104">
        <f>SUMIFS(Tasks!$H:$H, Tasks!$C:$C, O$1, Tasks!$B:$B, $H$1)*(1-(1/20)*$H9)</f>
        <v>18.899999999999999</v>
      </c>
      <c r="P9" s="14">
        <f>P8-SUMIFS(Task_hours!$H:$H, Task_hours!$E:$E, $G9, Task_hours!$C:$C, O$1, Task_hours!$B:$B, $H$1)</f>
        <v>12.5</v>
      </c>
      <c r="Q9" s="104">
        <f>SUMIFS(Tasks!$H:$H, Tasks!$C:$C, Q$1, Tasks!$B:$B, $H$1)*(1-(1/20)*$H9)</f>
        <v>1.75</v>
      </c>
      <c r="R9" s="14">
        <f>R8-SUMIFS(Task_hours!$H:$H, Task_hours!$E:$E, $G9, Task_hours!$C:$C, Q$1, Task_hours!$B:$B, $H$1)</f>
        <v>3</v>
      </c>
      <c r="S9" s="104">
        <f>SUMIFS(Tasks!$H:$H, Tasks!$C:$C, S$1, Tasks!$B:$B, $H$1)*(1-(1/20)*$H9)</f>
        <v>46.9</v>
      </c>
      <c r="T9" s="80">
        <f>T8-SUMIFS(Task_hours!$H:$H, Task_hours!$E:$E, $G9, Task_hours!$C:$C, S$1, Task_hours!$B:$B, $H$1)</f>
        <v>63</v>
      </c>
    </row>
    <row r="10" spans="1:20">
      <c r="A10" s="14"/>
      <c r="B10" s="14" t="s">
        <v>394</v>
      </c>
      <c r="C10" s="96">
        <v>2</v>
      </c>
      <c r="D10" s="113">
        <v>1</v>
      </c>
      <c r="G10" s="102">
        <v>45055</v>
      </c>
      <c r="H10" s="103">
        <v>7</v>
      </c>
      <c r="I10" s="104">
        <f>SUMIFS(Tasks!$H:$H, Tasks!$B:$B, $H$1)*(1-(1/20)*$H10)</f>
        <v>83.524999999999991</v>
      </c>
      <c r="J10" s="81">
        <f>J9-SUMIFS(Task_hours!$H:$H, Task_hours!$E:$E, $G10, Task_hours!$B:$B, $H$1)</f>
        <v>113</v>
      </c>
      <c r="K10" s="104">
        <f>SUMIFS(Tasks!$H:$H, Tasks!$C:$C, K$1, Tasks!$B:$B, $H$1)*(1-(1/20)*$H10)</f>
        <v>9.7499999999999982</v>
      </c>
      <c r="L10" s="14">
        <f>L9-SUMIFS(Task_hours!$H:$H, Task_hours!$E:$E, $G10, Task_hours!$C:$C, K$1, Task_hours!$B:$B, $H$1)</f>
        <v>12</v>
      </c>
      <c r="M10" s="104">
        <f>SUMIFS(Tasks!$H:$H, Tasks!$C:$C, M$1, Tasks!$B:$B, $H$1)*(1-(1/20)*$H10)</f>
        <v>11.049999999999999</v>
      </c>
      <c r="N10" s="14">
        <f>N9-SUMIFS(Task_hours!$H:$H, Task_hours!$E:$E, $G10, Task_hours!$C:$C, M$1, Task_hours!$B:$B, $H$1)</f>
        <v>24</v>
      </c>
      <c r="O10" s="104">
        <f>SUMIFS(Tasks!$H:$H, Tasks!$C:$C, O$1, Tasks!$B:$B, $H$1)*(1-(1/20)*$H10)</f>
        <v>17.549999999999997</v>
      </c>
      <c r="P10" s="14">
        <f>P9-SUMIFS(Task_hours!$H:$H, Task_hours!$E:$E, $G10, Task_hours!$C:$C, O$1, Task_hours!$B:$B, $H$1)</f>
        <v>11</v>
      </c>
      <c r="Q10" s="104">
        <f>SUMIFS(Tasks!$H:$H, Tasks!$C:$C, Q$1, Tasks!$B:$B, $H$1)*(1-(1/20)*$H10)</f>
        <v>1.6249999999999998</v>
      </c>
      <c r="R10" s="14">
        <f>R9-SUMIFS(Task_hours!$H:$H, Task_hours!$E:$E, $G10, Task_hours!$C:$C, Q$1, Task_hours!$B:$B, $H$1)</f>
        <v>3</v>
      </c>
      <c r="S10" s="104">
        <f>SUMIFS(Tasks!$H:$H, Tasks!$C:$C, S$1, Tasks!$B:$B, $H$1)*(1-(1/20)*$H10)</f>
        <v>43.55</v>
      </c>
      <c r="T10" s="80">
        <f>T9-SUMIFS(Task_hours!$H:$H, Task_hours!$E:$E, $G10, Task_hours!$C:$C, S$1, Task_hours!$B:$B, $H$1)</f>
        <v>63</v>
      </c>
    </row>
    <row r="11" spans="1:20">
      <c r="A11" s="14"/>
      <c r="B11" s="14" t="s">
        <v>398</v>
      </c>
      <c r="C11" s="96">
        <v>0</v>
      </c>
      <c r="D11" s="113">
        <v>0</v>
      </c>
      <c r="G11" s="102">
        <v>45056</v>
      </c>
      <c r="H11" s="103">
        <v>8</v>
      </c>
      <c r="I11" s="104">
        <f>SUMIFS(Tasks!$H:$H, Tasks!$B:$B, $H$1)*(1-(1/20)*$H11)</f>
        <v>77.099999999999994</v>
      </c>
      <c r="J11" s="81">
        <f>J10-SUMIFS(Task_hours!$H:$H, Task_hours!$E:$E, $G11, Task_hours!$B:$B, $H$1)</f>
        <v>83</v>
      </c>
      <c r="K11" s="104">
        <f>SUMIFS(Tasks!$H:$H, Tasks!$C:$C, K$1, Tasks!$B:$B, $H$1)*(1-(1/20)*$H11)</f>
        <v>9</v>
      </c>
      <c r="L11" s="14">
        <f>L10-SUMIFS(Task_hours!$H:$H, Task_hours!$E:$E, $G11, Task_hours!$C:$C, K$1, Task_hours!$B:$B, $H$1)</f>
        <v>3.5</v>
      </c>
      <c r="M11" s="104">
        <f>SUMIFS(Tasks!$H:$H, Tasks!$C:$C, M$1, Tasks!$B:$B, $H$1)*(1-(1/20)*$H11)</f>
        <v>10.199999999999999</v>
      </c>
      <c r="N11" s="14">
        <f>N10-SUMIFS(Task_hours!$H:$H, Task_hours!$E:$E, $G11, Task_hours!$C:$C, M$1, Task_hours!$B:$B, $H$1)</f>
        <v>16</v>
      </c>
      <c r="O11" s="104">
        <f>SUMIFS(Tasks!$H:$H, Tasks!$C:$C, O$1, Tasks!$B:$B, $H$1)*(1-(1/20)*$H11)</f>
        <v>16.2</v>
      </c>
      <c r="P11" s="14">
        <f>P10-SUMIFS(Task_hours!$H:$H, Task_hours!$E:$E, $G11, Task_hours!$C:$C, O$1, Task_hours!$B:$B, $H$1)</f>
        <v>3.5</v>
      </c>
      <c r="Q11" s="104">
        <f>SUMIFS(Tasks!$H:$H, Tasks!$C:$C, Q$1, Tasks!$B:$B, $H$1)*(1-(1/20)*$H11)</f>
        <v>1.5</v>
      </c>
      <c r="R11" s="14">
        <f>R10-SUMIFS(Task_hours!$H:$H, Task_hours!$E:$E, $G11, Task_hours!$C:$C, Q$1, Task_hours!$B:$B, $H$1)</f>
        <v>1</v>
      </c>
      <c r="S11" s="104">
        <f>SUMIFS(Tasks!$H:$H, Tasks!$C:$C, S$1, Tasks!$B:$B, $H$1)*(1-(1/20)*$H11)</f>
        <v>40.199999999999996</v>
      </c>
      <c r="T11" s="80">
        <f>T10-SUMIFS(Task_hours!$H:$H, Task_hours!$E:$E, $G11, Task_hours!$C:$C, S$1, Task_hours!$B:$B, $H$1)</f>
        <v>59</v>
      </c>
    </row>
    <row r="12" spans="1:20">
      <c r="A12" s="14" t="s">
        <v>500</v>
      </c>
      <c r="B12" s="14"/>
      <c r="C12" s="96">
        <v>27</v>
      </c>
      <c r="D12" s="113">
        <v>18.5</v>
      </c>
      <c r="G12" s="102">
        <v>45057</v>
      </c>
      <c r="H12" s="103">
        <v>9</v>
      </c>
      <c r="I12" s="104">
        <f>SUMIFS(Tasks!$H:$H, Tasks!$B:$B, $H$1)*(1-(1/20)*$H12)</f>
        <v>70.675000000000011</v>
      </c>
      <c r="J12" s="81">
        <f>J11-SUMIFS(Task_hours!$H:$H, Task_hours!$E:$E, $G12, Task_hours!$B:$B, $H$1)</f>
        <v>72</v>
      </c>
      <c r="K12" s="104">
        <f>SUMIFS(Tasks!$H:$H, Tasks!$C:$C, K$1, Tasks!$B:$B, $H$1)*(1-(1/20)*$H12)</f>
        <v>8.25</v>
      </c>
      <c r="L12" s="14">
        <f>L11-SUMIFS(Task_hours!$H:$H, Task_hours!$E:$E, $G12, Task_hours!$C:$C, K$1, Task_hours!$B:$B, $H$1)</f>
        <v>0</v>
      </c>
      <c r="M12" s="104">
        <f>SUMIFS(Tasks!$H:$H, Tasks!$C:$C, M$1, Tasks!$B:$B, $H$1)*(1-(1/20)*$H12)</f>
        <v>9.3500000000000014</v>
      </c>
      <c r="N12" s="14">
        <f>N11-SUMIFS(Task_hours!$H:$H, Task_hours!$E:$E, $G12, Task_hours!$C:$C, M$1, Task_hours!$B:$B, $H$1)</f>
        <v>16</v>
      </c>
      <c r="O12" s="104">
        <f>SUMIFS(Tasks!$H:$H, Tasks!$C:$C, O$1, Tasks!$B:$B, $H$1)*(1-(1/20)*$H12)</f>
        <v>14.850000000000001</v>
      </c>
      <c r="P12" s="14">
        <f>P11-SUMIFS(Task_hours!$H:$H, Task_hours!$E:$E, $G12, Task_hours!$C:$C, O$1, Task_hours!$B:$B, $H$1)</f>
        <v>1</v>
      </c>
      <c r="Q12" s="104">
        <f>SUMIFS(Tasks!$H:$H, Tasks!$C:$C, Q$1, Tasks!$B:$B, $H$1)*(1-(1/20)*$H12)</f>
        <v>1.375</v>
      </c>
      <c r="R12" s="14">
        <f>R11-SUMIFS(Task_hours!$H:$H, Task_hours!$E:$E, $G12, Task_hours!$C:$C, Q$1, Task_hours!$B:$B, $H$1)</f>
        <v>0</v>
      </c>
      <c r="S12" s="104">
        <f>SUMIFS(Tasks!$H:$H, Tasks!$C:$C, S$1, Tasks!$B:$B, $H$1)*(1-(1/20)*$H12)</f>
        <v>36.85</v>
      </c>
      <c r="T12" s="80">
        <f>T11-SUMIFS(Task_hours!$H:$H, Task_hours!$E:$E, $G12, Task_hours!$C:$C, S$1, Task_hours!$B:$B, $H$1)</f>
        <v>55</v>
      </c>
    </row>
    <row r="13" spans="1:20">
      <c r="A13" s="95" t="s">
        <v>399</v>
      </c>
      <c r="B13" s="14" t="s">
        <v>400</v>
      </c>
      <c r="C13" s="96">
        <v>1</v>
      </c>
      <c r="D13" s="113">
        <v>1</v>
      </c>
      <c r="G13" s="102">
        <v>45058</v>
      </c>
      <c r="H13" s="103">
        <v>10</v>
      </c>
      <c r="I13" s="104">
        <f>SUMIFS(Tasks!$H:$H, Tasks!$B:$B, $H$1)*(1-(1/20)*$H13)</f>
        <v>64.25</v>
      </c>
      <c r="J13" s="81">
        <f>J12-SUMIFS(Task_hours!$H:$H, Task_hours!$E:$E, $G13, Task_hours!$B:$B, $H$1)</f>
        <v>58.5</v>
      </c>
      <c r="K13" s="104">
        <f>SUMIFS(Tasks!$H:$H, Tasks!$C:$C, K$1, Tasks!$B:$B, $H$1)*(1-(1/20)*$H13)</f>
        <v>7.5</v>
      </c>
      <c r="L13" s="14">
        <f>L12-SUMIFS(Task_hours!$H:$H, Task_hours!$E:$E, $G13, Task_hours!$C:$C, K$1, Task_hours!$B:$B, $H$1)</f>
        <v>0</v>
      </c>
      <c r="M13" s="104">
        <f>SUMIFS(Tasks!$H:$H, Tasks!$C:$C, M$1, Tasks!$B:$B, $H$1)*(1-(1/20)*$H13)</f>
        <v>8.5</v>
      </c>
      <c r="N13" s="14">
        <f>N12-SUMIFS(Task_hours!$H:$H, Task_hours!$E:$E, $G13, Task_hours!$C:$C, M$1, Task_hours!$B:$B, $H$1)</f>
        <v>10</v>
      </c>
      <c r="O13" s="104">
        <f>SUMIFS(Tasks!$H:$H, Tasks!$C:$C, O$1, Tasks!$B:$B, $H$1)*(1-(1/20)*$H13)</f>
        <v>13.5</v>
      </c>
      <c r="P13" s="14">
        <f>P12-SUMIFS(Task_hours!$H:$H, Task_hours!$E:$E, $G13, Task_hours!$C:$C, O$1, Task_hours!$B:$B, $H$1)</f>
        <v>0</v>
      </c>
      <c r="Q13" s="104">
        <f>SUMIFS(Tasks!$H:$H, Tasks!$C:$C, Q$1, Tasks!$B:$B, $H$1)*(1-(1/20)*$H13)</f>
        <v>1.25</v>
      </c>
      <c r="R13" s="14">
        <f>R12-SUMIFS(Task_hours!$H:$H, Task_hours!$E:$E, $G13, Task_hours!$C:$C, Q$1, Task_hours!$B:$B, $H$1)</f>
        <v>0</v>
      </c>
      <c r="S13" s="104">
        <f>SUMIFS(Tasks!$H:$H, Tasks!$C:$C, S$1, Tasks!$B:$B, $H$1)*(1-(1/20)*$H13)</f>
        <v>33.5</v>
      </c>
      <c r="T13" s="80">
        <f>T12-SUMIFS(Task_hours!$H:$H, Task_hours!$E:$E, $G13, Task_hours!$C:$C, S$1, Task_hours!$B:$B, $H$1)</f>
        <v>48.5</v>
      </c>
    </row>
    <row r="14" spans="1:20">
      <c r="A14" s="14"/>
      <c r="B14" s="14" t="s">
        <v>401</v>
      </c>
      <c r="C14" s="96">
        <v>1.5</v>
      </c>
      <c r="D14" s="113">
        <v>2</v>
      </c>
      <c r="G14" s="102">
        <v>45059</v>
      </c>
      <c r="H14" s="103">
        <v>11</v>
      </c>
      <c r="I14" s="104">
        <f>SUMIFS(Tasks!$H:$H, Tasks!$B:$B, $H$1)*(1-(1/20)*$H14)</f>
        <v>57.824999999999996</v>
      </c>
      <c r="J14" s="81">
        <f>J13-SUMIFS(Task_hours!$H:$H, Task_hours!$E:$E, $G14, Task_hours!$B:$B, $H$1)</f>
        <v>49</v>
      </c>
      <c r="K14" s="104">
        <f>SUMIFS(Tasks!$H:$H, Tasks!$C:$C, K$1, Tasks!$B:$B, $H$1)*(1-(1/20)*$H14)</f>
        <v>6.7499999999999991</v>
      </c>
      <c r="L14" s="14">
        <f>L13-SUMIFS(Task_hours!$H:$H, Task_hours!$E:$E, $G14, Task_hours!$C:$C, K$1, Task_hours!$B:$B, $H$1)</f>
        <v>0</v>
      </c>
      <c r="M14" s="104">
        <f>SUMIFS(Tasks!$H:$H, Tasks!$C:$C, M$1, Tasks!$B:$B, $H$1)*(1-(1/20)*$H14)</f>
        <v>7.6499999999999995</v>
      </c>
      <c r="N14" s="14">
        <f>N13-SUMIFS(Task_hours!$H:$H, Task_hours!$E:$E, $G14, Task_hours!$C:$C, M$1, Task_hours!$B:$B, $H$1)</f>
        <v>2</v>
      </c>
      <c r="O14" s="104">
        <f>SUMIFS(Tasks!$H:$H, Tasks!$C:$C, O$1, Tasks!$B:$B, $H$1)*(1-(1/20)*$H14)</f>
        <v>12.149999999999999</v>
      </c>
      <c r="P14" s="14">
        <f>P13-SUMIFS(Task_hours!$H:$H, Task_hours!$E:$E, $G14, Task_hours!$C:$C, O$1, Task_hours!$B:$B, $H$1)</f>
        <v>0</v>
      </c>
      <c r="Q14" s="104">
        <f>SUMIFS(Tasks!$H:$H, Tasks!$C:$C, Q$1, Tasks!$B:$B, $H$1)*(1-(1/20)*$H14)</f>
        <v>1.125</v>
      </c>
      <c r="R14" s="14">
        <f>R13-SUMIFS(Task_hours!$H:$H, Task_hours!$E:$E, $G14, Task_hours!$C:$C, Q$1, Task_hours!$B:$B, $H$1)</f>
        <v>0</v>
      </c>
      <c r="S14" s="104">
        <f>SUMIFS(Tasks!$H:$H, Tasks!$C:$C, S$1, Tasks!$B:$B, $H$1)*(1-(1/20)*$H14)</f>
        <v>30.15</v>
      </c>
      <c r="T14" s="80">
        <f>T13-SUMIFS(Task_hours!$H:$H, Task_hours!$E:$E, $G14, Task_hours!$C:$C, S$1, Task_hours!$B:$B, $H$1)</f>
        <v>47</v>
      </c>
    </row>
    <row r="15" spans="1:20">
      <c r="A15" s="14" t="s">
        <v>501</v>
      </c>
      <c r="B15" s="14"/>
      <c r="C15" s="96">
        <v>2.5</v>
      </c>
      <c r="D15" s="113">
        <v>3</v>
      </c>
      <c r="G15" s="102">
        <v>45060</v>
      </c>
      <c r="H15" s="103">
        <v>12</v>
      </c>
      <c r="I15" s="104">
        <f>SUMIFS(Tasks!$H:$H, Tasks!$B:$B, $H$1)*(1-(1/20)*$H15)</f>
        <v>51.399999999999991</v>
      </c>
      <c r="J15" s="81">
        <f>J14-SUMIFS(Task_hours!$H:$H, Task_hours!$E:$E, $G15, Task_hours!$B:$B, $H$1)</f>
        <v>42.5</v>
      </c>
      <c r="K15" s="104">
        <f>SUMIFS(Tasks!$H:$H, Tasks!$C:$C, K$1, Tasks!$B:$B, $H$1)*(1-(1/20)*$H15)</f>
        <v>5.9999999999999982</v>
      </c>
      <c r="L15" s="14">
        <f>L14-SUMIFS(Task_hours!$H:$H, Task_hours!$E:$E, $G15, Task_hours!$C:$C, K$1, Task_hours!$B:$B, $H$1)</f>
        <v>0</v>
      </c>
      <c r="M15" s="104">
        <f>SUMIFS(Tasks!$H:$H, Tasks!$C:$C, M$1, Tasks!$B:$B, $H$1)*(1-(1/20)*$H15)</f>
        <v>6.7999999999999989</v>
      </c>
      <c r="N15" s="14">
        <f>N14-SUMIFS(Task_hours!$H:$H, Task_hours!$E:$E, $G15, Task_hours!$C:$C, M$1, Task_hours!$B:$B, $H$1)</f>
        <v>2</v>
      </c>
      <c r="O15" s="104">
        <f>SUMIFS(Tasks!$H:$H, Tasks!$C:$C, O$1, Tasks!$B:$B, $H$1)*(1-(1/20)*$H15)</f>
        <v>10.799999999999997</v>
      </c>
      <c r="P15" s="14">
        <f>P14-SUMIFS(Task_hours!$H:$H, Task_hours!$E:$E, $G15, Task_hours!$C:$C, O$1, Task_hours!$B:$B, $H$1)</f>
        <v>0</v>
      </c>
      <c r="Q15" s="104">
        <f>SUMIFS(Tasks!$H:$H, Tasks!$C:$C, Q$1, Tasks!$B:$B, $H$1)*(1-(1/20)*$H15)</f>
        <v>0.99999999999999978</v>
      </c>
      <c r="R15" s="14">
        <f>R14-SUMIFS(Task_hours!$H:$H, Task_hours!$E:$E, $G15, Task_hours!$C:$C, Q$1, Task_hours!$B:$B, $H$1)</f>
        <v>0</v>
      </c>
      <c r="S15" s="104">
        <f>SUMIFS(Tasks!$H:$H, Tasks!$C:$C, S$1, Tasks!$B:$B, $H$1)*(1-(1/20)*$H15)</f>
        <v>26.799999999999994</v>
      </c>
      <c r="T15" s="80">
        <f>T14-SUMIFS(Task_hours!$H:$H, Task_hours!$E:$E, $G15, Task_hours!$C:$C, S$1, Task_hours!$B:$B, $H$1)</f>
        <v>40.5</v>
      </c>
    </row>
    <row r="16" spans="1:20">
      <c r="A16" s="95" t="s">
        <v>403</v>
      </c>
      <c r="B16" s="14" t="s">
        <v>405</v>
      </c>
      <c r="C16" s="96">
        <v>8</v>
      </c>
      <c r="D16" s="113">
        <v>11</v>
      </c>
      <c r="G16" s="102">
        <v>45061</v>
      </c>
      <c r="H16" s="103">
        <v>13</v>
      </c>
      <c r="I16" s="104">
        <f>SUMIFS(Tasks!$H:$H, Tasks!$B:$B, $H$1)*(1-(1/20)*$H16)</f>
        <v>44.974999999999994</v>
      </c>
      <c r="J16" s="81">
        <f>J15-SUMIFS(Task_hours!$H:$H, Task_hours!$E:$E, $G16, Task_hours!$B:$B, $H$1)</f>
        <v>36</v>
      </c>
      <c r="K16" s="104">
        <f>SUMIFS(Tasks!$H:$H, Tasks!$C:$C, K$1, Tasks!$B:$B, $H$1)*(1-(1/20)*$H16)</f>
        <v>5.25</v>
      </c>
      <c r="L16" s="14">
        <f>L15-SUMIFS(Task_hours!$H:$H, Task_hours!$E:$E, $G16, Task_hours!$C:$C, K$1, Task_hours!$B:$B, $H$1)</f>
        <v>0</v>
      </c>
      <c r="M16" s="104">
        <f>SUMIFS(Tasks!$H:$H, Tasks!$C:$C, M$1, Tasks!$B:$B, $H$1)*(1-(1/20)*$H16)</f>
        <v>5.9499999999999993</v>
      </c>
      <c r="N16" s="14">
        <f>N15-SUMIFS(Task_hours!$H:$H, Task_hours!$E:$E, $G16, Task_hours!$C:$C, M$1, Task_hours!$B:$B, $H$1)</f>
        <v>2</v>
      </c>
      <c r="O16" s="104">
        <f>SUMIFS(Tasks!$H:$H, Tasks!$C:$C, O$1, Tasks!$B:$B, $H$1)*(1-(1/20)*$H16)</f>
        <v>9.4499999999999993</v>
      </c>
      <c r="P16" s="14">
        <f>P15-SUMIFS(Task_hours!$H:$H, Task_hours!$E:$E, $G16, Task_hours!$C:$C, O$1, Task_hours!$B:$B, $H$1)</f>
        <v>0</v>
      </c>
      <c r="Q16" s="104">
        <f>SUMIFS(Tasks!$H:$H, Tasks!$C:$C, Q$1, Tasks!$B:$B, $H$1)*(1-(1/20)*$H16)</f>
        <v>0.875</v>
      </c>
      <c r="R16" s="14">
        <f>R15-SUMIFS(Task_hours!$H:$H, Task_hours!$E:$E, $G16, Task_hours!$C:$C, Q$1, Task_hours!$B:$B, $H$1)</f>
        <v>0</v>
      </c>
      <c r="S16" s="104">
        <f>SUMIFS(Tasks!$H:$H, Tasks!$C:$C, S$1, Tasks!$B:$B, $H$1)*(1-(1/20)*$H16)</f>
        <v>23.45</v>
      </c>
      <c r="T16" s="80">
        <f>T15-SUMIFS(Task_hours!$H:$H, Task_hours!$E:$E, $G16, Task_hours!$C:$C, S$1, Task_hours!$B:$B, $H$1)</f>
        <v>34</v>
      </c>
    </row>
    <row r="17" spans="1:20">
      <c r="A17" s="14"/>
      <c r="B17" s="14" t="s">
        <v>404</v>
      </c>
      <c r="C17" s="96">
        <v>5</v>
      </c>
      <c r="D17" s="113">
        <v>3.5</v>
      </c>
      <c r="G17" s="102">
        <v>45062</v>
      </c>
      <c r="H17" s="103">
        <v>14</v>
      </c>
      <c r="I17" s="104">
        <f>SUMIFS(Tasks!$H:$H, Tasks!$B:$B, $H$1)*(1-(1/20)*$H17)</f>
        <v>38.54999999999999</v>
      </c>
      <c r="J17" s="81">
        <f>J16-SUMIFS(Task_hours!$H:$H, Task_hours!$E:$E, $G17, Task_hours!$B:$B, $H$1)</f>
        <v>29.5</v>
      </c>
      <c r="K17" s="104">
        <f>SUMIFS(Tasks!$H:$H, Tasks!$C:$C, K$1, Tasks!$B:$B, $H$1)*(1-(1/20)*$H17)</f>
        <v>4.4999999999999991</v>
      </c>
      <c r="L17" s="14">
        <f>L16-SUMIFS(Task_hours!$H:$H, Task_hours!$E:$E, $G17, Task_hours!$C:$C, K$1, Task_hours!$B:$B, $H$1)</f>
        <v>0</v>
      </c>
      <c r="M17" s="104">
        <f>SUMIFS(Tasks!$H:$H, Tasks!$C:$C, M$1, Tasks!$B:$B, $H$1)*(1-(1/20)*$H17)</f>
        <v>5.0999999999999988</v>
      </c>
      <c r="N17" s="14">
        <f>N16-SUMIFS(Task_hours!$H:$H, Task_hours!$E:$E, $G17, Task_hours!$C:$C, M$1, Task_hours!$B:$B, $H$1)</f>
        <v>0</v>
      </c>
      <c r="O17" s="104">
        <f>SUMIFS(Tasks!$H:$H, Tasks!$C:$C, O$1, Tasks!$B:$B, $H$1)*(1-(1/20)*$H17)</f>
        <v>8.0999999999999979</v>
      </c>
      <c r="P17" s="14">
        <f>P16-SUMIFS(Task_hours!$H:$H, Task_hours!$E:$E, $G17, Task_hours!$C:$C, O$1, Task_hours!$B:$B, $H$1)</f>
        <v>0</v>
      </c>
      <c r="Q17" s="104">
        <f>SUMIFS(Tasks!$H:$H, Tasks!$C:$C, Q$1, Tasks!$B:$B, $H$1)*(1-(1/20)*$H17)</f>
        <v>0.74999999999999978</v>
      </c>
      <c r="R17" s="14">
        <f>R16-SUMIFS(Task_hours!$H:$H, Task_hours!$E:$E, $G17, Task_hours!$C:$C, Q$1, Task_hours!$B:$B, $H$1)</f>
        <v>0</v>
      </c>
      <c r="S17" s="104">
        <f>SUMIFS(Tasks!$H:$H, Tasks!$C:$C, S$1, Tasks!$B:$B, $H$1)*(1-(1/20)*$H17)</f>
        <v>20.099999999999994</v>
      </c>
      <c r="T17" s="80">
        <f>T16-SUMIFS(Task_hours!$H:$H, Task_hours!$E:$E, $G17, Task_hours!$C:$C, S$1, Task_hours!$B:$B, $H$1)</f>
        <v>29.5</v>
      </c>
    </row>
    <row r="18" spans="1:20">
      <c r="A18" s="14"/>
      <c r="B18" s="14" t="s">
        <v>406</v>
      </c>
      <c r="C18" s="96">
        <v>2</v>
      </c>
      <c r="D18" s="113">
        <v>1.5</v>
      </c>
      <c r="G18" s="102">
        <v>45063</v>
      </c>
      <c r="H18" s="103">
        <v>15</v>
      </c>
      <c r="I18" s="104">
        <f>SUMIFS(Tasks!$H:$H, Tasks!$B:$B, $H$1)*(1-(1/20)*$H18)</f>
        <v>32.125</v>
      </c>
      <c r="J18" s="81">
        <f>J17-SUMIFS(Task_hours!$H:$H, Task_hours!$E:$E, $G18, Task_hours!$B:$B, $H$1)</f>
        <v>29.5</v>
      </c>
      <c r="K18" s="104">
        <f>SUMIFS(Tasks!$H:$H, Tasks!$C:$C, K$1, Tasks!$B:$B, $H$1)*(1-(1/20)*$H18)</f>
        <v>3.75</v>
      </c>
      <c r="L18" s="14">
        <f>L17-SUMIFS(Task_hours!$H:$H, Task_hours!$E:$E, $G18, Task_hours!$C:$C, K$1, Task_hours!$B:$B, $H$1)</f>
        <v>0</v>
      </c>
      <c r="M18" s="104">
        <f>SUMIFS(Tasks!$H:$H, Tasks!$C:$C, M$1, Tasks!$B:$B, $H$1)*(1-(1/20)*$H18)</f>
        <v>4.25</v>
      </c>
      <c r="N18" s="14">
        <f>N17-SUMIFS(Task_hours!$H:$H, Task_hours!$E:$E, $G18, Task_hours!$C:$C, M$1, Task_hours!$B:$B, $H$1)</f>
        <v>0</v>
      </c>
      <c r="O18" s="104">
        <f>SUMIFS(Tasks!$H:$H, Tasks!$C:$C, O$1, Tasks!$B:$B, $H$1)*(1-(1/20)*$H18)</f>
        <v>6.75</v>
      </c>
      <c r="P18" s="14">
        <f>P17-SUMIFS(Task_hours!$H:$H, Task_hours!$E:$E, $G18, Task_hours!$C:$C, O$1, Task_hours!$B:$B, $H$1)</f>
        <v>0</v>
      </c>
      <c r="Q18" s="104">
        <f>SUMIFS(Tasks!$H:$H, Tasks!$C:$C, Q$1, Tasks!$B:$B, $H$1)*(1-(1/20)*$H18)</f>
        <v>0.625</v>
      </c>
      <c r="R18" s="14">
        <f>R17-SUMIFS(Task_hours!$H:$H, Task_hours!$E:$E, $G18, Task_hours!$C:$C, Q$1, Task_hours!$B:$B, $H$1)</f>
        <v>0</v>
      </c>
      <c r="S18" s="104">
        <f>SUMIFS(Tasks!$H:$H, Tasks!$C:$C, S$1, Tasks!$B:$B, $H$1)*(1-(1/20)*$H18)</f>
        <v>16.75</v>
      </c>
      <c r="T18" s="80">
        <f>T17-SUMIFS(Task_hours!$H:$H, Task_hours!$E:$E, $G18, Task_hours!$C:$C, S$1, Task_hours!$B:$B, $H$1)</f>
        <v>29.5</v>
      </c>
    </row>
    <row r="19" spans="1:20">
      <c r="A19" s="14" t="s">
        <v>502</v>
      </c>
      <c r="B19" s="14"/>
      <c r="C19" s="96">
        <v>15</v>
      </c>
      <c r="D19" s="113">
        <v>16</v>
      </c>
      <c r="G19" s="102">
        <v>45064</v>
      </c>
      <c r="H19" s="103">
        <v>16</v>
      </c>
      <c r="I19" s="104">
        <f>SUMIFS(Tasks!$H:$H, Tasks!$B:$B, $H$1)*(1-(1/20)*$H19)</f>
        <v>25.699999999999996</v>
      </c>
      <c r="J19" s="81">
        <f>J18-SUMIFS(Task_hours!$H:$H, Task_hours!$E:$E, $G19, Task_hours!$B:$B, $H$1)</f>
        <v>26.5</v>
      </c>
      <c r="K19" s="104">
        <f>SUMIFS(Tasks!$H:$H, Tasks!$C:$C, K$1, Tasks!$B:$B, $H$1)*(1-(1/20)*$H19)</f>
        <v>2.9999999999999991</v>
      </c>
      <c r="L19" s="14">
        <f>L18-SUMIFS(Task_hours!$H:$H, Task_hours!$E:$E, $G19, Task_hours!$C:$C, K$1, Task_hours!$B:$B, $H$1)</f>
        <v>0</v>
      </c>
      <c r="M19" s="104">
        <f>SUMIFS(Tasks!$H:$H, Tasks!$C:$C, M$1, Tasks!$B:$B, $H$1)*(1-(1/20)*$H19)</f>
        <v>3.3999999999999995</v>
      </c>
      <c r="N19" s="14">
        <f>N18-SUMIFS(Task_hours!$H:$H, Task_hours!$E:$E, $G19, Task_hours!$C:$C, M$1, Task_hours!$B:$B, $H$1)</f>
        <v>0</v>
      </c>
      <c r="O19" s="104">
        <f>SUMIFS(Tasks!$H:$H, Tasks!$C:$C, O$1, Tasks!$B:$B, $H$1)*(1-(1/20)*$H19)</f>
        <v>5.3999999999999986</v>
      </c>
      <c r="P19" s="14">
        <f>P18-SUMIFS(Task_hours!$H:$H, Task_hours!$E:$E, $G19, Task_hours!$C:$C, O$1, Task_hours!$B:$B, $H$1)</f>
        <v>0</v>
      </c>
      <c r="Q19" s="104">
        <f>SUMIFS(Tasks!$H:$H, Tasks!$C:$C, Q$1, Tasks!$B:$B, $H$1)*(1-(1/20)*$H19)</f>
        <v>0.49999999999999989</v>
      </c>
      <c r="R19" s="14">
        <f>R18-SUMIFS(Task_hours!$H:$H, Task_hours!$E:$E, $G19, Task_hours!$C:$C, Q$1, Task_hours!$B:$B, $H$1)</f>
        <v>0</v>
      </c>
      <c r="S19" s="104">
        <f>SUMIFS(Tasks!$H:$H, Tasks!$C:$C, S$1, Tasks!$B:$B, $H$1)*(1-(1/20)*$H19)</f>
        <v>13.399999999999997</v>
      </c>
      <c r="T19" s="80">
        <f>T18-SUMIFS(Task_hours!$H:$H, Task_hours!$E:$E, $G19, Task_hours!$C:$C, S$1, Task_hours!$B:$B, $H$1)</f>
        <v>26.5</v>
      </c>
    </row>
    <row r="20" spans="1:20">
      <c r="A20" s="95" t="s">
        <v>407</v>
      </c>
      <c r="B20" s="14" t="s">
        <v>408</v>
      </c>
      <c r="C20" s="96">
        <v>6</v>
      </c>
      <c r="D20" s="113">
        <v>9</v>
      </c>
      <c r="G20" s="102">
        <v>45065</v>
      </c>
      <c r="H20" s="103">
        <v>17</v>
      </c>
      <c r="I20" s="104">
        <f>SUMIFS(Tasks!$H:$H, Tasks!$B:$B, $H$1)*(1-(1/20)*$H20)</f>
        <v>19.274999999999988</v>
      </c>
      <c r="J20" s="81">
        <f>J19-SUMIFS(Task_hours!$H:$H, Task_hours!$E:$E, $G20, Task_hours!$B:$B, $H$1)</f>
        <v>25</v>
      </c>
      <c r="K20" s="104">
        <f>SUMIFS(Tasks!$H:$H, Tasks!$C:$C, K$1, Tasks!$B:$B, $H$1)*(1-(1/20)*$H20)</f>
        <v>2.2499999999999987</v>
      </c>
      <c r="L20" s="14">
        <f>L19-SUMIFS(Task_hours!$H:$H, Task_hours!$E:$E, $G20, Task_hours!$C:$C, K$1, Task_hours!$B:$B, $H$1)</f>
        <v>0</v>
      </c>
      <c r="M20" s="104">
        <f>SUMIFS(Tasks!$H:$H, Tasks!$C:$C, M$1, Tasks!$B:$B, $H$1)*(1-(1/20)*$H20)</f>
        <v>2.5499999999999985</v>
      </c>
      <c r="N20" s="14">
        <f>N19-SUMIFS(Task_hours!$H:$H, Task_hours!$E:$E, $G20, Task_hours!$C:$C, M$1, Task_hours!$B:$B, $H$1)</f>
        <v>0</v>
      </c>
      <c r="O20" s="104">
        <f>SUMIFS(Tasks!$H:$H, Tasks!$C:$C, O$1, Tasks!$B:$B, $H$1)*(1-(1/20)*$H20)</f>
        <v>4.0499999999999972</v>
      </c>
      <c r="P20" s="14">
        <f>P19-SUMIFS(Task_hours!$H:$H, Task_hours!$E:$E, $G20, Task_hours!$C:$C, O$1, Task_hours!$B:$B, $H$1)</f>
        <v>0</v>
      </c>
      <c r="Q20" s="104">
        <f>SUMIFS(Tasks!$H:$H, Tasks!$C:$C, Q$1, Tasks!$B:$B, $H$1)*(1-(1/20)*$H20)</f>
        <v>0.37499999999999978</v>
      </c>
      <c r="R20" s="14">
        <f>R19-SUMIFS(Task_hours!$H:$H, Task_hours!$E:$E, $G20, Task_hours!$C:$C, Q$1, Task_hours!$B:$B, $H$1)</f>
        <v>0</v>
      </c>
      <c r="S20" s="104">
        <f>SUMIFS(Tasks!$H:$H, Tasks!$C:$C, S$1, Tasks!$B:$B, $H$1)*(1-(1/20)*$H20)</f>
        <v>10.049999999999994</v>
      </c>
      <c r="T20" s="80">
        <f>T19-SUMIFS(Task_hours!$H:$H, Task_hours!$E:$E, $G20, Task_hours!$C:$C, S$1, Task_hours!$B:$B, $H$1)</f>
        <v>25</v>
      </c>
    </row>
    <row r="21" spans="1:20">
      <c r="A21" s="14"/>
      <c r="B21" s="14" t="s">
        <v>410</v>
      </c>
      <c r="C21" s="96">
        <v>6</v>
      </c>
      <c r="D21" s="113">
        <v>21</v>
      </c>
      <c r="G21" s="102">
        <v>45066</v>
      </c>
      <c r="H21" s="103">
        <v>18</v>
      </c>
      <c r="I21" s="104">
        <f>SUMIFS(Tasks!$H:$H, Tasks!$B:$B, $H$1)*(1-(1/20)*$H21)</f>
        <v>12.849999999999998</v>
      </c>
      <c r="J21" s="81">
        <f>J20-SUMIFS(Task_hours!$H:$H, Task_hours!$E:$E, $G21, Task_hours!$B:$B, $H$1)</f>
        <v>22</v>
      </c>
      <c r="K21" s="104">
        <f>SUMIFS(Tasks!$H:$H, Tasks!$C:$C, K$1, Tasks!$B:$B, $H$1)*(1-(1/20)*$H21)</f>
        <v>1.4999999999999996</v>
      </c>
      <c r="L21" s="14">
        <f>L20-SUMIFS(Task_hours!$H:$H, Task_hours!$E:$E, $G21, Task_hours!$C:$C, K$1, Task_hours!$B:$B, $H$1)</f>
        <v>0</v>
      </c>
      <c r="M21" s="104">
        <f>SUMIFS(Tasks!$H:$H, Tasks!$C:$C, M$1, Tasks!$B:$B, $H$1)*(1-(1/20)*$H21)</f>
        <v>1.6999999999999997</v>
      </c>
      <c r="N21" s="14">
        <f>N20-SUMIFS(Task_hours!$H:$H, Task_hours!$E:$E, $G21, Task_hours!$C:$C, M$1, Task_hours!$B:$B, $H$1)</f>
        <v>0</v>
      </c>
      <c r="O21" s="104">
        <f>SUMIFS(Tasks!$H:$H, Tasks!$C:$C, O$1, Tasks!$B:$B, $H$1)*(1-(1/20)*$H21)</f>
        <v>2.6999999999999993</v>
      </c>
      <c r="P21" s="14">
        <f>P20-SUMIFS(Task_hours!$H:$H, Task_hours!$E:$E, $G21, Task_hours!$C:$C, O$1, Task_hours!$B:$B, $H$1)</f>
        <v>0</v>
      </c>
      <c r="Q21" s="104">
        <f>SUMIFS(Tasks!$H:$H, Tasks!$C:$C, Q$1, Tasks!$B:$B, $H$1)*(1-(1/20)*$H21)</f>
        <v>0.24999999999999994</v>
      </c>
      <c r="R21" s="14">
        <f>R20-SUMIFS(Task_hours!$H:$H, Task_hours!$E:$E, $G21, Task_hours!$C:$C, Q$1, Task_hours!$B:$B, $H$1)</f>
        <v>0</v>
      </c>
      <c r="S21" s="104">
        <f>SUMIFS(Tasks!$H:$H, Tasks!$C:$C, S$1, Tasks!$B:$B, $H$1)*(1-(1/20)*$H21)</f>
        <v>6.6999999999999984</v>
      </c>
      <c r="T21" s="80">
        <f>T20-SUMIFS(Task_hours!$H:$H, Task_hours!$E:$E, $G21, Task_hours!$C:$C, S$1, Task_hours!$B:$B, $H$1)</f>
        <v>22</v>
      </c>
    </row>
    <row r="22" spans="1:20">
      <c r="A22" s="14"/>
      <c r="B22" s="14" t="s">
        <v>409</v>
      </c>
      <c r="C22" s="96">
        <v>5</v>
      </c>
      <c r="D22" s="113">
        <v>7</v>
      </c>
      <c r="G22" s="102">
        <v>45067</v>
      </c>
      <c r="H22" s="103">
        <v>19</v>
      </c>
      <c r="I22" s="104">
        <f>SUMIFS(Tasks!$H:$H, Tasks!$B:$B, $H$1)*(1-(1/20)*$H22)</f>
        <v>6.4249999999999918</v>
      </c>
      <c r="J22" s="81">
        <f>J21-SUMIFS(Task_hours!$H:$H, Task_hours!$E:$E, $G22, Task_hours!$B:$B, $H$1)</f>
        <v>13.5</v>
      </c>
      <c r="K22" s="104">
        <f>SUMIFS(Tasks!$H:$H, Tasks!$C:$C, K$1, Tasks!$B:$B, $H$1)*(1-(1/20)*$H22)</f>
        <v>0.749999999999999</v>
      </c>
      <c r="L22" s="14">
        <f>L21-SUMIFS(Task_hours!$H:$H, Task_hours!$E:$E, $G22, Task_hours!$C:$C, K$1, Task_hours!$B:$B, $H$1)</f>
        <v>0</v>
      </c>
      <c r="M22" s="104">
        <f>SUMIFS(Tasks!$H:$H, Tasks!$C:$C, M$1, Tasks!$B:$B, $H$1)*(1-(1/20)*$H22)</f>
        <v>0.84999999999999887</v>
      </c>
      <c r="N22" s="14">
        <f>N21-SUMIFS(Task_hours!$H:$H, Task_hours!$E:$E, $G22, Task_hours!$C:$C, M$1, Task_hours!$B:$B, $H$1)</f>
        <v>0</v>
      </c>
      <c r="O22" s="104">
        <f>SUMIFS(Tasks!$H:$H, Tasks!$C:$C, O$1, Tasks!$B:$B, $H$1)*(1-(1/20)*$H22)</f>
        <v>1.3499999999999983</v>
      </c>
      <c r="P22" s="14">
        <f>P21-SUMIFS(Task_hours!$H:$H, Task_hours!$E:$E, $G22, Task_hours!$C:$C, O$1, Task_hours!$B:$B, $H$1)</f>
        <v>0</v>
      </c>
      <c r="Q22" s="104">
        <f>SUMIFS(Tasks!$H:$H, Tasks!$C:$C, Q$1, Tasks!$B:$B, $H$1)*(1-(1/20)*$H22)</f>
        <v>0.12499999999999983</v>
      </c>
      <c r="R22" s="14">
        <f>R21-SUMIFS(Task_hours!$H:$H, Task_hours!$E:$E, $G22, Task_hours!$C:$C, Q$1, Task_hours!$B:$B, $H$1)</f>
        <v>0</v>
      </c>
      <c r="S22" s="104">
        <f>SUMIFS(Tasks!$H:$H, Tasks!$C:$C, S$1, Tasks!$B:$B, $H$1)*(1-(1/20)*$H22)</f>
        <v>3.3499999999999956</v>
      </c>
      <c r="T22" s="80">
        <f>T21-SUMIFS(Task_hours!$H:$H, Task_hours!$E:$E, $G22, Task_hours!$C:$C, S$1, Task_hours!$B:$B, $H$1)</f>
        <v>13.5</v>
      </c>
    </row>
    <row r="23" spans="1:20">
      <c r="A23" s="14" t="s">
        <v>503</v>
      </c>
      <c r="B23" s="14"/>
      <c r="C23" s="96">
        <v>17</v>
      </c>
      <c r="D23" s="113">
        <v>37</v>
      </c>
      <c r="G23" s="107">
        <v>45068</v>
      </c>
      <c r="H23" s="108">
        <v>20</v>
      </c>
      <c r="I23" s="109">
        <f>SUMIFS(Tasks!$H:$H, Tasks!$B:$B, $H$1)*(1-(1/20)*$H23)</f>
        <v>0</v>
      </c>
      <c r="J23" s="114">
        <f>J22-SUMIFS(Task_hours!$H:$H, Task_hours!$E:$E, $G23, Task_hours!$B:$B, $H$1)</f>
        <v>0</v>
      </c>
      <c r="K23" s="109">
        <f>SUMIFS(Tasks!$H:$H, Tasks!$C:$C, K$1, Tasks!$B:$B, $H$1)*(1-(1/20)*$H23)</f>
        <v>0</v>
      </c>
      <c r="L23" s="115">
        <f>L22-SUMIFS(Task_hours!$H:$H, Task_hours!$E:$E, $G23, Task_hours!$C:$C, K$1, Task_hours!$B:$B, $H$1)</f>
        <v>0</v>
      </c>
      <c r="M23" s="109">
        <f>SUMIFS(Tasks!$H:$H, Tasks!$C:$C, M$1, Tasks!$B:$B, $H$1)*(1-(1/20)*$H23)</f>
        <v>0</v>
      </c>
      <c r="N23" s="115">
        <f>N22-SUMIFS(Task_hours!$H:$H, Task_hours!$E:$E, $G23, Task_hours!$C:$C, M$1, Task_hours!$B:$B, $H$1)</f>
        <v>0</v>
      </c>
      <c r="O23" s="109">
        <f>SUMIFS(Tasks!$H:$H, Tasks!$C:$C, O$1, Tasks!$B:$B, $H$1)*(1-(1/20)*$H23)</f>
        <v>0</v>
      </c>
      <c r="P23" s="115">
        <f>P22-SUMIFS(Task_hours!$H:$H, Task_hours!$E:$E, $G23, Task_hours!$C:$C, O$1, Task_hours!$B:$B, $H$1)</f>
        <v>0</v>
      </c>
      <c r="Q23" s="109">
        <f>SUMIFS(Tasks!$H:$H, Tasks!$C:$C, Q$1, Tasks!$B:$B, $H$1)*(1-(1/20)*$H23)</f>
        <v>0</v>
      </c>
      <c r="R23" s="115">
        <f>R22-SUMIFS(Task_hours!$H:$H, Task_hours!$E:$E, $G23, Task_hours!$C:$C, Q$1, Task_hours!$B:$B, $H$1)</f>
        <v>0</v>
      </c>
      <c r="S23" s="109">
        <f>SUMIFS(Tasks!$H:$H, Tasks!$C:$C, S$1, Tasks!$B:$B, $H$1)*(1-(1/20)*$H23)</f>
        <v>0</v>
      </c>
      <c r="T23" s="116">
        <f>T22-SUMIFS(Task_hours!$H:$H, Task_hours!$E:$E, $G23, Task_hours!$C:$C, S$1, Task_hours!$B:$B, $H$1)</f>
        <v>0</v>
      </c>
    </row>
    <row r="24" spans="1:20">
      <c r="A24" s="95" t="s">
        <v>411</v>
      </c>
      <c r="B24" s="14" t="s">
        <v>419</v>
      </c>
      <c r="C24" s="96">
        <v>3</v>
      </c>
      <c r="D24" s="113">
        <v>2.5</v>
      </c>
    </row>
    <row r="25" spans="1:20">
      <c r="A25" s="14"/>
      <c r="B25" s="14" t="s">
        <v>436</v>
      </c>
      <c r="C25" s="96">
        <v>2</v>
      </c>
      <c r="D25" s="113">
        <v>2</v>
      </c>
      <c r="H25" s="112"/>
    </row>
    <row r="26" spans="1:20">
      <c r="A26" s="14"/>
      <c r="B26" s="14" t="s">
        <v>442</v>
      </c>
      <c r="C26" s="96">
        <v>1</v>
      </c>
      <c r="D26" s="113">
        <v>1.5</v>
      </c>
      <c r="H26" s="112"/>
    </row>
    <row r="27" spans="1:20">
      <c r="A27" s="14"/>
      <c r="B27" s="14" t="s">
        <v>418</v>
      </c>
      <c r="C27" s="96">
        <v>2</v>
      </c>
      <c r="D27" s="113">
        <v>1</v>
      </c>
      <c r="H27" s="112"/>
    </row>
    <row r="28" spans="1:20">
      <c r="A28" s="14"/>
      <c r="B28" s="14" t="s">
        <v>431</v>
      </c>
      <c r="C28" s="96">
        <v>5</v>
      </c>
      <c r="D28" s="113">
        <v>5</v>
      </c>
      <c r="H28" s="112"/>
    </row>
    <row r="29" spans="1:20">
      <c r="A29" s="14"/>
      <c r="B29" s="14" t="s">
        <v>443</v>
      </c>
      <c r="C29" s="96">
        <v>0.5</v>
      </c>
      <c r="D29" s="113">
        <v>0.5</v>
      </c>
      <c r="H29" s="112"/>
    </row>
    <row r="30" spans="1:20">
      <c r="A30" s="14"/>
      <c r="B30" s="14" t="s">
        <v>412</v>
      </c>
      <c r="C30" s="96">
        <v>0.5</v>
      </c>
      <c r="D30" s="113">
        <v>0.5</v>
      </c>
      <c r="H30" s="112"/>
    </row>
    <row r="31" spans="1:20">
      <c r="A31" s="14"/>
      <c r="B31" s="14" t="s">
        <v>437</v>
      </c>
      <c r="C31" s="96">
        <v>0.5</v>
      </c>
      <c r="D31" s="113">
        <v>0.5</v>
      </c>
      <c r="H31" s="112"/>
    </row>
    <row r="32" spans="1:20">
      <c r="A32" s="14"/>
      <c r="B32" s="14" t="s">
        <v>417</v>
      </c>
      <c r="C32" s="96">
        <v>4</v>
      </c>
      <c r="D32" s="113">
        <v>4</v>
      </c>
    </row>
    <row r="33" spans="1:4">
      <c r="A33" s="14"/>
      <c r="B33" s="14" t="s">
        <v>446</v>
      </c>
      <c r="C33" s="96">
        <v>2</v>
      </c>
      <c r="D33" s="113">
        <v>2</v>
      </c>
    </row>
    <row r="34" spans="1:4">
      <c r="A34" s="14"/>
      <c r="B34" s="14" t="s">
        <v>441</v>
      </c>
      <c r="C34" s="96">
        <v>4</v>
      </c>
      <c r="D34" s="113">
        <v>4</v>
      </c>
    </row>
    <row r="35" spans="1:4">
      <c r="A35" s="14"/>
      <c r="B35" s="14" t="s">
        <v>438</v>
      </c>
      <c r="C35" s="96">
        <v>2</v>
      </c>
      <c r="D35" s="113">
        <v>2.5</v>
      </c>
    </row>
    <row r="36" spans="1:4">
      <c r="A36" s="14"/>
      <c r="B36" s="14" t="s">
        <v>422</v>
      </c>
      <c r="C36" s="96">
        <v>0.5</v>
      </c>
      <c r="D36" s="113">
        <v>1</v>
      </c>
    </row>
    <row r="37" spans="1:4">
      <c r="A37" s="14"/>
      <c r="B37" s="14" t="s">
        <v>428</v>
      </c>
      <c r="C37" s="96">
        <v>1</v>
      </c>
      <c r="D37" s="113">
        <v>0.5</v>
      </c>
    </row>
    <row r="38" spans="1:4">
      <c r="A38" s="14"/>
      <c r="B38" s="14" t="s">
        <v>430</v>
      </c>
      <c r="C38" s="96">
        <v>0.5</v>
      </c>
      <c r="D38" s="113">
        <v>0.5</v>
      </c>
    </row>
    <row r="39" spans="1:4">
      <c r="A39" s="14"/>
      <c r="B39" s="14" t="s">
        <v>425</v>
      </c>
      <c r="C39" s="96">
        <v>1.5</v>
      </c>
      <c r="D39" s="113">
        <v>2.5</v>
      </c>
    </row>
    <row r="40" spans="1:4">
      <c r="A40" s="14"/>
      <c r="B40" s="14" t="s">
        <v>424</v>
      </c>
      <c r="C40" s="96">
        <v>2</v>
      </c>
      <c r="D40" s="113">
        <v>0.5</v>
      </c>
    </row>
    <row r="41" spans="1:4">
      <c r="A41" s="14"/>
      <c r="B41" s="14" t="s">
        <v>427</v>
      </c>
      <c r="C41" s="96">
        <v>1</v>
      </c>
      <c r="D41" s="113">
        <v>2.5</v>
      </c>
    </row>
    <row r="42" spans="1:4">
      <c r="A42" s="14"/>
      <c r="B42" s="14" t="s">
        <v>426</v>
      </c>
      <c r="C42" s="96">
        <v>2</v>
      </c>
      <c r="D42" s="113">
        <v>1</v>
      </c>
    </row>
    <row r="43" spans="1:4">
      <c r="A43" s="14"/>
      <c r="B43" s="14" t="s">
        <v>433</v>
      </c>
      <c r="C43" s="96">
        <v>4</v>
      </c>
      <c r="D43" s="113">
        <v>0</v>
      </c>
    </row>
    <row r="44" spans="1:4">
      <c r="A44" s="14"/>
      <c r="B44" s="14" t="s">
        <v>434</v>
      </c>
      <c r="C44" s="96">
        <v>3</v>
      </c>
      <c r="D44" s="113">
        <v>3.5</v>
      </c>
    </row>
    <row r="45" spans="1:4">
      <c r="A45" s="14"/>
      <c r="B45" s="14" t="s">
        <v>444</v>
      </c>
      <c r="C45" s="96">
        <v>4</v>
      </c>
      <c r="D45" s="113">
        <v>4</v>
      </c>
    </row>
    <row r="46" spans="1:4">
      <c r="A46" s="14"/>
      <c r="B46" s="14" t="s">
        <v>429</v>
      </c>
      <c r="C46" s="96">
        <v>1</v>
      </c>
      <c r="D46" s="113">
        <v>0.5</v>
      </c>
    </row>
    <row r="47" spans="1:4">
      <c r="A47" s="14"/>
      <c r="B47" s="14" t="s">
        <v>423</v>
      </c>
      <c r="C47" s="96">
        <v>2.5</v>
      </c>
      <c r="D47" s="113">
        <v>1.5</v>
      </c>
    </row>
    <row r="48" spans="1:4">
      <c r="A48" s="14"/>
      <c r="B48" s="14" t="s">
        <v>435</v>
      </c>
      <c r="C48" s="96">
        <v>5</v>
      </c>
      <c r="D48" s="113">
        <v>7.5</v>
      </c>
    </row>
    <row r="49" spans="1:4">
      <c r="A49" s="14"/>
      <c r="B49" s="14" t="s">
        <v>420</v>
      </c>
      <c r="C49" s="96">
        <v>2</v>
      </c>
      <c r="D49" s="113">
        <v>2.5</v>
      </c>
    </row>
    <row r="50" spans="1:4">
      <c r="A50" s="14"/>
      <c r="B50" s="14" t="s">
        <v>445</v>
      </c>
      <c r="C50" s="96">
        <v>2</v>
      </c>
      <c r="D50" s="113">
        <v>2</v>
      </c>
    </row>
    <row r="51" spans="1:4">
      <c r="A51" s="14"/>
      <c r="B51" s="14" t="s">
        <v>413</v>
      </c>
      <c r="C51" s="96">
        <v>1</v>
      </c>
      <c r="D51" s="113">
        <v>1.5</v>
      </c>
    </row>
    <row r="52" spans="1:4">
      <c r="A52" s="14"/>
      <c r="B52" s="14" t="s">
        <v>414</v>
      </c>
      <c r="C52" s="96">
        <v>1</v>
      </c>
      <c r="D52" s="113">
        <v>1.5</v>
      </c>
    </row>
    <row r="53" spans="1:4">
      <c r="A53" s="14"/>
      <c r="B53" s="14" t="s">
        <v>439</v>
      </c>
      <c r="C53" s="96">
        <v>1</v>
      </c>
      <c r="D53" s="113">
        <v>2</v>
      </c>
    </row>
    <row r="54" spans="1:4">
      <c r="A54" s="14"/>
      <c r="B54" s="14" t="s">
        <v>416</v>
      </c>
      <c r="C54" s="96">
        <v>4</v>
      </c>
      <c r="D54" s="113">
        <v>0</v>
      </c>
    </row>
    <row r="55" spans="1:4">
      <c r="A55" s="14"/>
      <c r="B55" s="14" t="s">
        <v>440</v>
      </c>
      <c r="C55" s="96">
        <v>0.5</v>
      </c>
      <c r="D55" s="113">
        <v>1</v>
      </c>
    </row>
    <row r="56" spans="1:4">
      <c r="A56" s="14"/>
      <c r="B56" s="14" t="s">
        <v>421</v>
      </c>
      <c r="C56" s="96">
        <v>1</v>
      </c>
      <c r="D56" s="113">
        <v>1</v>
      </c>
    </row>
    <row r="57" spans="1:4">
      <c r="A57" s="14" t="s">
        <v>504</v>
      </c>
      <c r="B57" s="14"/>
      <c r="C57" s="96">
        <v>67</v>
      </c>
      <c r="D57" s="113">
        <v>63</v>
      </c>
    </row>
    <row r="58" spans="1:4">
      <c r="A58" s="14" t="s">
        <v>483</v>
      </c>
      <c r="B58" s="14"/>
      <c r="C58" s="96">
        <v>128.5</v>
      </c>
      <c r="D58" s="113">
        <v>137.5</v>
      </c>
    </row>
  </sheetData>
  <mergeCells count="6">
    <mergeCell ref="S1:T1"/>
    <mergeCell ref="I1:J1"/>
    <mergeCell ref="K1:L1"/>
    <mergeCell ref="M1:N1"/>
    <mergeCell ref="O1:P1"/>
    <mergeCell ref="Q1:R1"/>
  </mergeCells>
  <pageMargins left="0" right="0" top="0" bottom="0" header="0" footer="0"/>
  <drawing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Stories</vt:lpstr>
      <vt:lpstr>Task_hours</vt:lpstr>
      <vt:lpstr>Tasks</vt:lpstr>
      <vt:lpstr>Calendar</vt:lpstr>
      <vt:lpstr>Burndown Overview</vt:lpstr>
      <vt:lpstr>Iteration-1 (Burndown)</vt:lpstr>
      <vt:lpstr>Iteration-2 (Burndown)</vt:lpstr>
      <vt:lpstr>Iteration-3 (Burndown)</vt:lpstr>
      <vt:lpstr>Iteration-4 (Burndown)</vt:lpstr>
      <vt:lpst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COLOT Martin</cp:lastModifiedBy>
  <cp:revision/>
  <dcterms:created xsi:type="dcterms:W3CDTF">2026-02-18T08:55:11Z</dcterms:created>
  <dcterms:modified xsi:type="dcterms:W3CDTF">2026-02-18T08:58:56Z</dcterms:modified>
  <cp:category/>
  <cp:contentStatus/>
</cp:coreProperties>
</file>